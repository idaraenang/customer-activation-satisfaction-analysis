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78792366b2682d1b/Desktop/"/>
    </mc:Choice>
  </mc:AlternateContent>
  <xr:revisionPtr revIDLastSave="57" documentId="8_{C7F500DE-AB49-4B0E-933E-EF032E8E632B}" xr6:coauthVersionLast="47" xr6:coauthVersionMax="47" xr10:uidLastSave="{004DDBCF-57EF-41F8-951C-3B7244A534DF}"/>
  <bookViews>
    <workbookView xWindow="-120" yWindow="-120" windowWidth="20730" windowHeight="11040" activeTab="1" xr2:uid="{00000000-000D-0000-FFFF-FFFF00000000}"/>
  </bookViews>
  <sheets>
    <sheet name="Dataset" sheetId="4" r:id="rId1"/>
    <sheet name="NovaPay_Onboarding(Main Table)" sheetId="1" r:id="rId2"/>
    <sheet name="Pivot Tables" sheetId="3" r:id="rId3"/>
    <sheet name="Dashboard" sheetId="5" r:id="rId4"/>
    <sheet name="Project Insights" sheetId="6" r:id="rId5"/>
  </sheets>
  <definedNames>
    <definedName name="NativeTimeline_Date_Registered">#N/A</definedName>
    <definedName name="Slicer_Age_Groups">#N/A</definedName>
    <definedName name="Slicer_Gender">#N/A</definedName>
    <definedName name="Slicer_State">#N/A</definedName>
  </definedNames>
  <calcPr calcId="191028"/>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 i="5" l="1"/>
  <c r="AA6" i="5"/>
  <c r="V6" i="5"/>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Q6" i="5"/>
  <c r="B6" i="5"/>
  <c r="N8" i="3"/>
  <c r="L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<sst xmlns="http://schemas.openxmlformats.org/spreadsheetml/2006/main" count="1868" uniqueCount="339">
  <si>
    <t>Customer_ID</t>
  </si>
  <si>
    <t>Age</t>
  </si>
  <si>
    <t>Gender</t>
  </si>
  <si>
    <t>State</t>
  </si>
  <si>
    <t>Date_Registered</t>
  </si>
  <si>
    <t>Verification_Status</t>
  </si>
  <si>
    <t>Activation_Status</t>
  </si>
  <si>
    <t>Days_to_Activate</t>
  </si>
  <si>
    <t>Account_Type</t>
  </si>
  <si>
    <t>Monthly_Transactions</t>
  </si>
  <si>
    <t>Monthly_Transaction_Value</t>
  </si>
  <si>
    <t>Customer_Satisfaction_Score</t>
  </si>
  <si>
    <t>CUST0001</t>
  </si>
  <si>
    <t>Male</t>
  </si>
  <si>
    <t>Lagos</t>
  </si>
  <si>
    <t>2026-03-12</t>
  </si>
  <si>
    <t>Verified</t>
  </si>
  <si>
    <t>Activated</t>
  </si>
  <si>
    <t>Current</t>
  </si>
  <si>
    <t>CUST0002</t>
  </si>
  <si>
    <t>Savings</t>
  </si>
  <si>
    <t>CUST0003</t>
  </si>
  <si>
    <t>Female</t>
  </si>
  <si>
    <t>Kano</t>
  </si>
  <si>
    <t>CUST0004</t>
  </si>
  <si>
    <t>CUST0005</t>
  </si>
  <si>
    <t>Oyo</t>
  </si>
  <si>
    <t>CUST0006</t>
  </si>
  <si>
    <t>Enugu</t>
  </si>
  <si>
    <t>CUST0007</t>
  </si>
  <si>
    <t>Rivers</t>
  </si>
  <si>
    <t>2026-06-24</t>
  </si>
  <si>
    <t>CUST0008</t>
  </si>
  <si>
    <t>Kaduna</t>
  </si>
  <si>
    <t>CUST0009</t>
  </si>
  <si>
    <t>2026-02-24</t>
  </si>
  <si>
    <t>Pending</t>
  </si>
  <si>
    <t>Not Activated</t>
  </si>
  <si>
    <t>CUST0010</t>
  </si>
  <si>
    <t>2026-02-05</t>
  </si>
  <si>
    <t>CUST0011</t>
  </si>
  <si>
    <t>CUST0012</t>
  </si>
  <si>
    <t>2026-06-02</t>
  </si>
  <si>
    <t>Premium</t>
  </si>
  <si>
    <t>CUST0013</t>
  </si>
  <si>
    <t>2026-04-22</t>
  </si>
  <si>
    <t>CUST0014</t>
  </si>
  <si>
    <t>2026-03-18</t>
  </si>
  <si>
    <t>CUST0015</t>
  </si>
  <si>
    <t>Abuja</t>
  </si>
  <si>
    <t>2026-01-29</t>
  </si>
  <si>
    <t>CUST0016</t>
  </si>
  <si>
    <t>2026-05-05</t>
  </si>
  <si>
    <t>CUST0017</t>
  </si>
  <si>
    <t>CUST0018</t>
  </si>
  <si>
    <t>2026-05-13</t>
  </si>
  <si>
    <t>CUST0019</t>
  </si>
  <si>
    <t>2026-06-11</t>
  </si>
  <si>
    <t>CUST0020</t>
  </si>
  <si>
    <t>2026-02-03</t>
  </si>
  <si>
    <t>CUST0021</t>
  </si>
  <si>
    <t>CUST0022</t>
  </si>
  <si>
    <t>2026-02-18</t>
  </si>
  <si>
    <t>CUST0023</t>
  </si>
  <si>
    <t>2026-05-19</t>
  </si>
  <si>
    <t>CUST0024</t>
  </si>
  <si>
    <t>2026-04-13</t>
  </si>
  <si>
    <t>CUST0025</t>
  </si>
  <si>
    <t>2026-05-23</t>
  </si>
  <si>
    <t>CUST0026</t>
  </si>
  <si>
    <t>2026-01-15</t>
  </si>
  <si>
    <t>CUST0027</t>
  </si>
  <si>
    <t>2026-06-22</t>
  </si>
  <si>
    <t>CUST0028</t>
  </si>
  <si>
    <t>CUST0029</t>
  </si>
  <si>
    <t>CUST0030</t>
  </si>
  <si>
    <t>CUST0031</t>
  </si>
  <si>
    <t>2026-06-17</t>
  </si>
  <si>
    <t>CUST0032</t>
  </si>
  <si>
    <t>CUST0033</t>
  </si>
  <si>
    <t>CUST0034</t>
  </si>
  <si>
    <t>CUST0035</t>
  </si>
  <si>
    <t>2026-01-11</t>
  </si>
  <si>
    <t>CUST0036</t>
  </si>
  <si>
    <t>2026-05-24</t>
  </si>
  <si>
    <t>CUST0037</t>
  </si>
  <si>
    <t>2026-03-27</t>
  </si>
  <si>
    <t>CUST0038</t>
  </si>
  <si>
    <t>CUST0039</t>
  </si>
  <si>
    <t>2026-03-13</t>
  </si>
  <si>
    <t>CUST0040</t>
  </si>
  <si>
    <t>Ogun</t>
  </si>
  <si>
    <t>2026-01-30</t>
  </si>
  <si>
    <t>CUST0041</t>
  </si>
  <si>
    <t>2026-03-22</t>
  </si>
  <si>
    <t>CUST0042</t>
  </si>
  <si>
    <t>2026-05-18</t>
  </si>
  <si>
    <t>CUST0043</t>
  </si>
  <si>
    <t>CUST0044</t>
  </si>
  <si>
    <t>2026-06-20</t>
  </si>
  <si>
    <t>CUST0045</t>
  </si>
  <si>
    <t>CUST0046</t>
  </si>
  <si>
    <t>CUST0047</t>
  </si>
  <si>
    <t>CUST0048</t>
  </si>
  <si>
    <t>CUST0049</t>
  </si>
  <si>
    <t>2026-03-05</t>
  </si>
  <si>
    <t>CUST0050</t>
  </si>
  <si>
    <t>CUST0051</t>
  </si>
  <si>
    <t>CUST0052</t>
  </si>
  <si>
    <t>CUST0053</t>
  </si>
  <si>
    <t>2026-04-10</t>
  </si>
  <si>
    <t>CUST0054</t>
  </si>
  <si>
    <t>CUST0055</t>
  </si>
  <si>
    <t>CUST0056</t>
  </si>
  <si>
    <t>2026-06-01</t>
  </si>
  <si>
    <t>CUST0057</t>
  </si>
  <si>
    <t>2026-04-27</t>
  </si>
  <si>
    <t>CUST0058</t>
  </si>
  <si>
    <t>2026-01-14</t>
  </si>
  <si>
    <t>CUST0059</t>
  </si>
  <si>
    <t>CUST0060</t>
  </si>
  <si>
    <t>CUST0061</t>
  </si>
  <si>
    <t>CUST0062</t>
  </si>
  <si>
    <t>CUST0063</t>
  </si>
  <si>
    <t>CUST0064</t>
  </si>
  <si>
    <t>CUST0065</t>
  </si>
  <si>
    <t>CUST0066</t>
  </si>
  <si>
    <t>CUST0067</t>
  </si>
  <si>
    <t>CUST0068</t>
  </si>
  <si>
    <t>CUST0069</t>
  </si>
  <si>
    <t>2026-05-04</t>
  </si>
  <si>
    <t>CUST0070</t>
  </si>
  <si>
    <t>CUST0071</t>
  </si>
  <si>
    <t>CUST0072</t>
  </si>
  <si>
    <t>2026-01-19</t>
  </si>
  <si>
    <t>CUST0073</t>
  </si>
  <si>
    <t>2026-04-17</t>
  </si>
  <si>
    <t>CUST0074</t>
  </si>
  <si>
    <t>2026-06-08</t>
  </si>
  <si>
    <t>CUST0075</t>
  </si>
  <si>
    <t>CUST0077</t>
  </si>
  <si>
    <t>2026-06-15</t>
  </si>
  <si>
    <t>CUST0078</t>
  </si>
  <si>
    <t>CUST0079</t>
  </si>
  <si>
    <t>2026-03-24</t>
  </si>
  <si>
    <t>CUST0080</t>
  </si>
  <si>
    <t>CUST0081</t>
  </si>
  <si>
    <t>CUST0082</t>
  </si>
  <si>
    <t>CUST0083</t>
  </si>
  <si>
    <t>2026-04-03</t>
  </si>
  <si>
    <t>CUST0084</t>
  </si>
  <si>
    <t>CUST0085</t>
  </si>
  <si>
    <t>2026-01-24</t>
  </si>
  <si>
    <t>CUST0086</t>
  </si>
  <si>
    <t>CUST0087</t>
  </si>
  <si>
    <t>CUST0088</t>
  </si>
  <si>
    <t>CUST0089</t>
  </si>
  <si>
    <t>CUST0090</t>
  </si>
  <si>
    <t>CUST0091</t>
  </si>
  <si>
    <t>CUST0092</t>
  </si>
  <si>
    <t>CUST0093</t>
  </si>
  <si>
    <t>CUST0094</t>
  </si>
  <si>
    <t>CUST0095</t>
  </si>
  <si>
    <t>2026-06-06</t>
  </si>
  <si>
    <t>CUST0096</t>
  </si>
  <si>
    <t>CUST0097</t>
  </si>
  <si>
    <t>CUST0098</t>
  </si>
  <si>
    <t>2026-05-27</t>
  </si>
  <si>
    <t>CUST0099</t>
  </si>
  <si>
    <t>2026-05-08</t>
  </si>
  <si>
    <t>CUST0100</t>
  </si>
  <si>
    <t>CUST0101</t>
  </si>
  <si>
    <t>CUST0102</t>
  </si>
  <si>
    <t>CUST0103</t>
  </si>
  <si>
    <t>2026-02-27</t>
  </si>
  <si>
    <t>CUST0104</t>
  </si>
  <si>
    <t>CUST0105</t>
  </si>
  <si>
    <t>CUST0106</t>
  </si>
  <si>
    <t>2026-01-12</t>
  </si>
  <si>
    <t>CUST0107</t>
  </si>
  <si>
    <t>2026-06-28</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</si>
  <si>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</si>
  <si>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</si>
  <si>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</si>
  <si>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</si>
  <si>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</si>
  <si>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</si>
  <si>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</si>
  <si>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</si>
  <si>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</si>
  <si>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</si>
  <si>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</si>
  <si>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</si>
  <si>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</si>
  <si>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</si>
  <si>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</si>
  <si>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</si>
  <si>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</si>
  <si>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2026-05-26</t>
  </si>
  <si>
    <t>CUST0125</t>
  </si>
  <si>
    <t>CUST0126</t>
  </si>
  <si>
    <t>CUST0127</t>
  </si>
  <si>
    <t>CUST0128</t>
  </si>
  <si>
    <t>2026-06-21</t>
  </si>
  <si>
    <t>CUST0129</t>
  </si>
  <si>
    <t>CUST0130</t>
  </si>
  <si>
    <t>CUST0131</t>
  </si>
  <si>
    <t>CUST0132</t>
  </si>
  <si>
    <t>CUST0133</t>
  </si>
  <si>
    <t>CUST0134</t>
  </si>
  <si>
    <t>CUST0135</t>
  </si>
  <si>
    <t>CUST0136</t>
  </si>
  <si>
    <t>CUST0137</t>
  </si>
  <si>
    <t>CUST0138</t>
  </si>
  <si>
    <t>2026-03-28</t>
  </si>
  <si>
    <t>CUST0139</t>
  </si>
  <si>
    <t>2026-06-18</t>
  </si>
  <si>
    <t>CUST0140</t>
  </si>
  <si>
    <t>CUST0141</t>
  </si>
  <si>
    <t>CUST0142</t>
  </si>
  <si>
    <t>CUST0143</t>
  </si>
  <si>
    <t>CUST0144</t>
  </si>
  <si>
    <t>CUST0145</t>
  </si>
  <si>
    <t>CUST0146</t>
  </si>
  <si>
    <t>CUST0147</t>
  </si>
  <si>
    <t>CUST0148</t>
  </si>
  <si>
    <t>CUST0149</t>
  </si>
  <si>
    <t>2026-05-09</t>
  </si>
  <si>
    <t>CUST0150</t>
  </si>
  <si>
    <t>CUST0151</t>
  </si>
  <si>
    <t>CUST0152</t>
  </si>
  <si>
    <t>CUST0153</t>
  </si>
  <si>
    <t>CUST0154</t>
  </si>
  <si>
    <t>CUST0155</t>
  </si>
  <si>
    <t>CUST0156</t>
  </si>
  <si>
    <t>CUST0157</t>
  </si>
  <si>
    <t>2026-01-17</t>
  </si>
  <si>
    <t>CUST0158</t>
  </si>
  <si>
    <t>CUST0159</t>
  </si>
  <si>
    <t>CUST0160</t>
  </si>
  <si>
    <t>CUST0161</t>
  </si>
  <si>
    <t>CUST0162</t>
  </si>
  <si>
    <t>CUST0163</t>
  </si>
  <si>
    <t>CUST0164</t>
  </si>
  <si>
    <t>CUST0165</t>
  </si>
  <si>
    <t>2026-06-16</t>
  </si>
  <si>
    <t>CUST0166</t>
  </si>
  <si>
    <t>CUST0167</t>
  </si>
  <si>
    <t>2026-04-24</t>
  </si>
  <si>
    <t>CUST0168</t>
  </si>
  <si>
    <t>2026-02-10</t>
  </si>
  <si>
    <t>CUST0169</t>
  </si>
  <si>
    <t>CUST0170</t>
  </si>
  <si>
    <t>2026-04-12</t>
  </si>
  <si>
    <t>CUST0171</t>
  </si>
  <si>
    <t>2026-04-26</t>
  </si>
  <si>
    <t>CUST0172</t>
  </si>
  <si>
    <t>CUST0173</t>
  </si>
  <si>
    <t>2026-03-06</t>
  </si>
  <si>
    <t>CUST0174</t>
  </si>
  <si>
    <t>CUST0175</t>
  </si>
  <si>
    <t>2026-06-14</t>
  </si>
  <si>
    <t>CUST0176</t>
  </si>
  <si>
    <t>2026-05-20</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</si>
  <si>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</si>
  <si>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</si>
  <si>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</si>
  <si>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</si>
  <si>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</si>
  <si>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</si>
  <si>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</si>
  <si>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</si>
  <si>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</si>
  <si>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</si>
  <si>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</si>
  <si>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</si>
  <si>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</si>
  <si>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</si>
  <si>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</si>
  <si>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</si>
  <si>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</si>
  <si>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</si>
  <si>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</si>
  <si>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</si>
  <si>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</si>
  <si>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</si>
  <si>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</si>
  <si>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2026-06-04</t>
  </si>
  <si>
    <t>CUST0200</t>
  </si>
  <si>
    <t>Row Labels</t>
  </si>
  <si>
    <t>Grand Total</t>
  </si>
  <si>
    <t>Count of Customer_ID</t>
  </si>
  <si>
    <t>Age Groups</t>
  </si>
  <si>
    <t>20-29</t>
  </si>
  <si>
    <t>30-39</t>
  </si>
  <si>
    <t>40-49</t>
  </si>
  <si>
    <t>50-59</t>
  </si>
  <si>
    <t>60+</t>
  </si>
  <si>
    <t>Below 20</t>
  </si>
  <si>
    <t>Missing</t>
  </si>
  <si>
    <t>Fast</t>
  </si>
  <si>
    <t>Moderate</t>
  </si>
  <si>
    <t>Average Customer_Satisfaction_Score</t>
  </si>
  <si>
    <t>Activation Speed</t>
  </si>
  <si>
    <t>Total Customers</t>
  </si>
  <si>
    <t>CUSTOMER ACTIVATION DASHBOARD</t>
  </si>
  <si>
    <t>Activation Rate</t>
  </si>
  <si>
    <t>Average Satisfaction</t>
  </si>
  <si>
    <t>Average Days to Activate</t>
  </si>
  <si>
    <t>Activation Satus</t>
  </si>
  <si>
    <t>Average of Days_to_Activate</t>
  </si>
  <si>
    <t>Average of Customer_Satisfaction_Score</t>
  </si>
  <si>
    <t>Outlier</t>
  </si>
  <si>
    <t>Slow</t>
  </si>
  <si>
    <t>Column Labels</t>
  </si>
  <si>
    <t>Total Average of Days_to_Activate</t>
  </si>
  <si>
    <t>Total Average of Customer_Satisfaction_Score</t>
  </si>
  <si>
    <t>State with Most Customers</t>
  </si>
  <si>
    <t>No. of Registrations</t>
  </si>
  <si>
    <t>No. of Customers</t>
  </si>
  <si>
    <t>No. of Monthly Transactions</t>
  </si>
  <si>
    <t>States</t>
  </si>
  <si>
    <t>Total No. of Customers</t>
  </si>
  <si>
    <t>Activation Status</t>
  </si>
  <si>
    <t>Account Type</t>
  </si>
  <si>
    <t>Sum of Monthly Transaction Values</t>
  </si>
  <si>
    <t>Top Age Group</t>
  </si>
  <si>
    <t>This analysis looks at how well customers are being activated, how satisfied they are, where customers are registering from, and which account types are generating the most transaction value. The goal is to understand what is going well and where there may be opportunities to improve the customer experience.</t>
  </si>
  <si>
    <t>Investigate why some customers take much longer to activate.</t>
  </si>
  <si>
    <t>Look into whether activation problems are connected to lower customer satisfaction.</t>
  </si>
  <si>
    <t>Investigate why customer registration is much lower in Kaduna.</t>
  </si>
  <si>
    <t>Continue monitoring the customer groups and account types showing the highest activity.</t>
  </si>
  <si>
    <t>OVERVIEW</t>
  </si>
  <si>
    <t>WHAT THE DATA TELLS US</t>
  </si>
  <si>
    <t>WHAT SHOULD BE LOOKED AT NEXT?</t>
  </si>
  <si>
    <t>Customer satisfaction appears relatively low. This raises an important question: could activation speed or other customer/account factors be contributing to lower satisfaction? Further analysis would be needed to understand the relationship.</t>
  </si>
  <si>
    <t>Most customers are successfully being activated, with 151 out of 199 customers activated (75.9%). However, activation is not always happening quickly. The average activation time is around 8 days, while one customer took 45 days, standing out as a possible issue worth investigating.</t>
  </si>
  <si>
    <t>Customer registration is also uneven across states. Lagos has the most customers (83), while Kaduna has the fewest (7). This difference could point to factors affecting customer registration in different locations.</t>
  </si>
  <si>
    <t>The 40–49 age group has the highest number of registrations, while Savings accounts generate the highest monthly transaction value. These patterns help show which customer group and account type are particularly active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</si>
</sst>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72" formatCode="0.0"/>
    <numFmt numFmtId="177" formatCode="0.0&quot;%&quot;"/>
  </numFmts>
  <fonts count="7" x14ac:knownFonts="1">
    <font>
      <sz val="11"/>
      <color theme="1"/>
      <name val="Calibri"/>
      <family val="2"/>
      <scheme val="minor"/>
    </font>
    <font>
      <sz val="22"/>
      <color theme="0"/>
      <name val="Calibri"/>
      <family val="2"/>
      <scheme val="minor"/>
    </font>
    <font>
      <sz val="14"/>
      <color theme="1"/>
      <name val="Calibri"/>
      <family val="2"/>
      <scheme val="minor"/>
    </font>
    <font>
      <sz val="18"/>
      <color theme="1"/>
      <name val="Calibri"/>
      <family val="2"/>
      <scheme val="minor"/>
    </font>
    <font>
      <sz val="16"/>
      <color theme="1"/>
      <name val="Calibri"/>
      <family val="2"/>
      <scheme val="minor"/>
    </font>
    <font>
      <sz val="28"/>
      <color theme="0"/>
      <name val="Calibri"/>
      <family val="2"/>
      <scheme val="minor"/>
    </font>
    <font>
      <sz val="13"/>
      <color theme="1"/>
      <name val="Calibri"/>
      <family val="2"/>
      <scheme val="minor"/>
    </font>
  </fonts>
  <fills count="5">
    <fill>
      <patternFill patternType="none"/>
    </fill>
    <fill>
      <patternFill patternType="gray125"/>
    </fill>
    <fill>
      <patternFill patternType="solid">
        <fgColor theme="9" tint="-0.499984740745262"/>
        <bgColor indexed="64"/>
      </patternFill>
    </fill>
    <fill>
      <patternFill patternType="solid">
        <fgColor theme="9" tint="0.39997558519241921"/>
        <bgColor indexed="64"/>
      </patternFill>
    </fill>
    <fill>
      <patternFill patternType="solid">
        <fgColor theme="9"/>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43" fontId="0" fillId="0" borderId="0" xfId="0" applyNumberFormat="1"/>
    <xf numFmtId="0" fontId="0" fillId="2" borderId="0" xfId="0" applyFill="1"/>
    <xf numFmtId="0" fontId="0" fillId="3" borderId="0" xfId="0" applyFill="1"/>
    <xf numFmtId="0" fontId="0" fillId="4" borderId="0" xfId="0" applyFill="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0" xfId="0" applyFill="1" applyBorder="1"/>
    <xf numFmtId="0" fontId="0" fillId="4" borderId="6" xfId="0" applyFill="1" applyBorder="1"/>
    <xf numFmtId="0" fontId="0" fillId="4" borderId="7" xfId="0" applyFill="1" applyBorder="1"/>
    <xf numFmtId="0" fontId="0" fillId="4" borderId="8" xfId="0" applyFill="1" applyBorder="1"/>
    <xf numFmtId="0" fontId="2" fillId="4" borderId="0" xfId="0" applyFont="1" applyFill="1" applyBorder="1"/>
    <xf numFmtId="0" fontId="2" fillId="4" borderId="4" xfId="0" applyFont="1" applyFill="1" applyBorder="1"/>
    <xf numFmtId="0" fontId="2" fillId="4" borderId="5" xfId="0" applyFont="1" applyFill="1" applyBorder="1"/>
    <xf numFmtId="0" fontId="0" fillId="3" borderId="0" xfId="0" applyFill="1" applyBorder="1"/>
    <xf numFmtId="1" fontId="2" fillId="4" borderId="4" xfId="0" applyNumberFormat="1" applyFont="1" applyFill="1" applyBorder="1"/>
    <xf numFmtId="0" fontId="0" fillId="2" borderId="0" xfId="0" applyFill="1"/>
    <xf numFmtId="0" fontId="0" fillId="2" borderId="0" xfId="0" applyFill="1"/>
    <xf numFmtId="0" fontId="1" fillId="2" borderId="0" xfId="0" applyFont="1" applyFill="1" applyAlignment="1"/>
    <xf numFmtId="0" fontId="3" fillId="4" borderId="0" xfId="0" applyFont="1" applyFill="1" applyBorder="1"/>
    <xf numFmtId="0" fontId="3" fillId="4" borderId="5" xfId="0" applyFont="1" applyFill="1" applyBorder="1"/>
    <xf numFmtId="0" fontId="4" fillId="4" borderId="0" xfId="0" applyFont="1" applyFill="1" applyBorder="1"/>
    <xf numFmtId="0" fontId="4" fillId="4" borderId="0" xfId="0" applyFont="1" applyFill="1" applyBorder="1"/>
    <xf numFmtId="0" fontId="3" fillId="4" borderId="4" xfId="0" applyFont="1" applyFill="1" applyBorder="1" applyAlignment="1">
      <alignment horizontal="center"/>
    </xf>
    <xf numFmtId="0" fontId="3" fillId="4" borderId="0" xfId="0" applyFont="1" applyFill="1" applyBorder="1" applyAlignment="1">
      <alignment horizontal="center"/>
    </xf>
    <xf numFmtId="0" fontId="3" fillId="4" borderId="5" xfId="0" applyFont="1" applyFill="1" applyBorder="1" applyAlignment="1">
      <alignment horizontal="center"/>
    </xf>
    <xf numFmtId="0" fontId="0" fillId="4" borderId="0" xfId="0" applyFill="1" applyBorder="1" applyAlignment="1">
      <alignment horizontal="center"/>
    </xf>
    <xf numFmtId="0" fontId="0" fillId="4" borderId="5" xfId="0" applyFill="1" applyBorder="1" applyAlignment="1">
      <alignment horizontal="center"/>
    </xf>
    <xf numFmtId="0" fontId="5" fillId="2" borderId="0" xfId="0" applyFont="1" applyFill="1" applyAlignment="1">
      <alignment horizontal="center"/>
    </xf>
    <xf numFmtId="0" fontId="5" fillId="2" borderId="7" xfId="0" applyFont="1" applyFill="1" applyBorder="1" applyAlignment="1">
      <alignment horizontal="center"/>
    </xf>
    <xf numFmtId="0" fontId="0" fillId="0" borderId="0" xfId="0" applyAlignment="1">
      <alignment horizontal="left" vertical="center" indent="1"/>
    </xf>
    <xf numFmtId="0" fontId="3" fillId="0" borderId="0" xfId="0" applyFont="1" applyAlignment="1">
      <alignment vertical="center"/>
    </xf>
    <xf numFmtId="0" fontId="6" fillId="0" borderId="0" xfId="0" applyFont="1"/>
    <xf numFmtId="0" fontId="6" fillId="0" borderId="0" xfId="0" applyFont="1" applyAlignment="1">
      <alignment horizontal="left" vertical="center" indent="1"/>
    </xf>
    <xf numFmtId="172" fontId="4" fillId="4" borderId="0" xfId="0" applyNumberFormat="1" applyFont="1" applyFill="1" applyBorder="1"/>
    <xf numFmtId="177" fontId="4" fillId="4" borderId="0" xfId="0" applyNumberFormat="1" applyFont="1" applyFill="1" applyBorder="1" applyAlignment="1">
      <alignment horizontal="center"/>
    </xf>
  </cellXfs>
  <cellStyles count="1">
    <cellStyle name="Normal" xfId="0" builtinId="0"/>
  </cellStyles>
  <dxfs count="12">
    <dxf>
      <numFmt numFmtId="2" formatCode="0.00"/>
    </dxf>
    <dxf>
      <numFmt numFmtId="2" formatCode="0.00"/>
    </dxf>
    <dxf>
      <numFmt numFmtId="35" formatCode="_(* #,##0.00_);_(* \(#,##0.00\);_(* &quot;-&quot;??_);_(@_)"/>
    </dxf>
    <dxf>
      <numFmt numFmtId="2" formatCode="0.00"/>
    </dxf>
    <dxf>
      <numFmt numFmtId="2" formatCode="0.00"/>
    </dxf>
    <dxf>
      <numFmt numFmtId="2" formatCode="0.00"/>
    </dxf>
    <dxf>
      <numFmt numFmtId="1" formatCode="0"/>
    </dxf>
    <dxf>
      <numFmt numFmtId="0" formatCode="General"/>
    </dxf>
    <dxf>
      <numFmt numFmtId="0" formatCode="General"/>
    </dxf>
    <dxf>
      <numFmt numFmtId="164" formatCode="&quot;$&quot;#,##0.00"/>
    </dxf>
    <dxf>
      <numFmt numFmtId="0" formatCode="General"/>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Activation</a:t>
            </a:r>
            <a:r>
              <a:rPr lang="en-US" sz="1600" baseline="0"/>
              <a:t> Status</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Tables'!$I$26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7C-430B-984B-98116496EA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7C-430B-984B-98116496EA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7C-430B-984B-98116496EA4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Tables'!$H$27:$H$29</c:f>
              <c:strCache>
                <c:ptCount val="2"/>
                <c:pt idx="0">
                  <c:v>Activated</c:v>
                </c:pt>
                <c:pt idx="1">
                  <c:v>Not Activated</c:v>
                </c:pt>
              </c:strCache>
            </c:strRef>
          </c:cat>
          <c:val>
            <c:numRef>
              <c:f>'Pivot Tables'!$I$27:$I$29</c:f>
              <c:numCache>
                <c:formatCode>General</c:formatCode>
                <c:ptCount val="2"/>
                <c:pt idx="0">
                  <c:v>151</c:v>
                </c:pt>
                <c:pt idx="1">
                  <c:v>48</c:v>
                </c:pt>
              </c:numCache>
            </c:numRef>
          </c:val>
          <c:extLst>
            <c:ext xmlns:c16="http://schemas.microsoft.com/office/drawing/2014/chart" uri="{C3380CC4-5D6E-409C-BE32-E72D297353CC}">
              <c16:uniqueId val="{00000006-937C-430B-984B-98116496EA4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Customer Satisfaction by Activation Speed</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Tables'!$N$18</c:f>
              <c:strCache>
                <c:ptCount val="1"/>
                <c:pt idx="0">
                  <c:v>Total</c:v>
                </c:pt>
              </c:strCache>
            </c:strRef>
          </c:tx>
          <c:spPr>
            <a:solidFill>
              <a:schemeClr val="accent2"/>
            </a:solidFill>
            <a:ln>
              <a:noFill/>
            </a:ln>
            <a:effectLst/>
          </c:spPr>
          <c:invertIfNegative val="0"/>
          <c:cat>
            <c:strRef>
              <c:f>'Pivot Tables'!$M$19:$M$23</c:f>
              <c:strCache>
                <c:ptCount val="4"/>
                <c:pt idx="0">
                  <c:v>Outlier</c:v>
                </c:pt>
                <c:pt idx="1">
                  <c:v>Fast</c:v>
                </c:pt>
                <c:pt idx="2">
                  <c:v>Moderate</c:v>
                </c:pt>
                <c:pt idx="3">
                  <c:v>Slow</c:v>
                </c:pt>
              </c:strCache>
            </c:strRef>
          </c:cat>
          <c:val>
            <c:numRef>
              <c:f>'Pivot Tables'!$N$19:$N$23</c:f>
              <c:numCache>
                <c:formatCode>0.00</c:formatCode>
                <c:ptCount val="4"/>
                <c:pt idx="0">
                  <c:v>4</c:v>
                </c:pt>
                <c:pt idx="1">
                  <c:v>3.2025316455696204</c:v>
                </c:pt>
                <c:pt idx="2">
                  <c:v>2.8913043478260869</c:v>
                </c:pt>
                <c:pt idx="3">
                  <c:v>2.3835616438356166</c:v>
                </c:pt>
              </c:numCache>
            </c:numRef>
          </c:val>
          <c:extLst>
            <c:ext xmlns:c16="http://schemas.microsoft.com/office/drawing/2014/chart" uri="{C3380CC4-5D6E-409C-BE32-E72D297353CC}">
              <c16:uniqueId val="{00000000-AE6D-45E1-AC57-AF0CE10872D8}"/>
            </c:ext>
          </c:extLst>
        </c:ser>
        <c:dLbls>
          <c:showLegendKey val="0"/>
          <c:showVal val="0"/>
          <c:showCatName val="0"/>
          <c:showSerName val="0"/>
          <c:showPercent val="0"/>
          <c:showBubbleSize val="0"/>
        </c:dLbls>
        <c:gapWidth val="150"/>
        <c:overlap val="100"/>
        <c:axId val="885862239"/>
        <c:axId val="997039679"/>
      </c:barChart>
      <c:catAx>
        <c:axId val="88586223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Activation</a:t>
                </a:r>
                <a:r>
                  <a:rPr lang="en-US" sz="1400" b="0" baseline="0"/>
                  <a:t> Speed</a:t>
                </a:r>
                <a:endParaRPr lang="en-US" sz="1400" b="0"/>
              </a:p>
            </c:rich>
          </c:tx>
          <c:layout>
            <c:manualLayout>
              <c:xMode val="edge"/>
              <c:yMode val="edge"/>
              <c:x val="0.41758167342435487"/>
              <c:y val="0.899254169030515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997039679"/>
        <c:crosses val="autoZero"/>
        <c:auto val="1"/>
        <c:lblAlgn val="ctr"/>
        <c:lblOffset val="100"/>
        <c:noMultiLvlLbl val="0"/>
      </c:catAx>
      <c:valAx>
        <c:axId val="997039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Customer</a:t>
                </a:r>
                <a:r>
                  <a:rPr lang="en-US" sz="1400" b="0" baseline="0"/>
                  <a:t> Satisfaction</a:t>
                </a:r>
                <a:endParaRPr lang="en-US" sz="1400" b="0"/>
              </a:p>
            </c:rich>
          </c:tx>
          <c:layout>
            <c:manualLayout>
              <c:xMode val="edge"/>
              <c:yMode val="edge"/>
              <c:x val="2.0000005249345209E-2"/>
              <c:y val="0.2124583355314587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8586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Transaction</a:t>
            </a:r>
            <a:r>
              <a:rPr lang="en-US" sz="1600" baseline="0"/>
              <a:t> Value by Account Type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Tables'!$D$16</c:f>
              <c:strCache>
                <c:ptCount val="1"/>
                <c:pt idx="0">
                  <c:v>Total</c:v>
                </c:pt>
              </c:strCache>
            </c:strRef>
          </c:tx>
          <c:spPr>
            <a:solidFill>
              <a:schemeClr val="accent1"/>
            </a:solidFill>
            <a:ln>
              <a:noFill/>
            </a:ln>
            <a:effectLst/>
          </c:spPr>
          <c:invertIfNegative val="0"/>
          <c:cat>
            <c:strRef>
              <c:f>'Pivot Tables'!$C$17:$C$20</c:f>
              <c:strCache>
                <c:ptCount val="3"/>
                <c:pt idx="0">
                  <c:v>Savings</c:v>
                </c:pt>
                <c:pt idx="1">
                  <c:v>Current</c:v>
                </c:pt>
                <c:pt idx="2">
                  <c:v>Premium</c:v>
                </c:pt>
              </c:strCache>
            </c:strRef>
          </c:cat>
          <c:val>
            <c:numRef>
              <c:f>'Pivot Tables'!$D$17:$D$20</c:f>
              <c:numCache>
                <c:formatCode>_(* #,##0.00_);_(* \(#,##0.00\);_(* "-"??_);_(@_)</c:formatCode>
                <c:ptCount val="3"/>
                <c:pt idx="0">
                  <c:v>27998220</c:v>
                </c:pt>
                <c:pt idx="1">
                  <c:v>10423553</c:v>
                </c:pt>
                <c:pt idx="2">
                  <c:v>4186589</c:v>
                </c:pt>
              </c:numCache>
            </c:numRef>
          </c:val>
          <c:extLst>
            <c:ext xmlns:c16="http://schemas.microsoft.com/office/drawing/2014/chart" uri="{C3380CC4-5D6E-409C-BE32-E72D297353CC}">
              <c16:uniqueId val="{00000000-663A-4646-BE63-C79D8A73F4FC}"/>
            </c:ext>
          </c:extLst>
        </c:ser>
        <c:dLbls>
          <c:showLegendKey val="0"/>
          <c:showVal val="0"/>
          <c:showCatName val="0"/>
          <c:showSerName val="0"/>
          <c:showPercent val="0"/>
          <c:showBubbleSize val="0"/>
        </c:dLbls>
        <c:gapWidth val="150"/>
        <c:overlap val="100"/>
        <c:axId val="894055424"/>
        <c:axId val="894059584"/>
      </c:barChart>
      <c:catAx>
        <c:axId val="8940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94059584"/>
        <c:crosses val="autoZero"/>
        <c:auto val="1"/>
        <c:lblAlgn val="ctr"/>
        <c:lblOffset val="100"/>
        <c:noMultiLvlLbl val="0"/>
      </c:catAx>
      <c:valAx>
        <c:axId val="89405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Transaction</a:t>
                </a:r>
                <a:r>
                  <a:rPr lang="en-US" sz="1400" baseline="0"/>
                  <a:t> Values</a:t>
                </a:r>
                <a:endParaRPr lang="en-US"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9405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Customers</a:t>
            </a:r>
            <a:r>
              <a:rPr lang="en-US" sz="1600" baseline="0"/>
              <a:t> by State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2"/>
            </a:solidFill>
            <a:ln>
              <a:noFill/>
            </a:ln>
            <a:effectLst/>
          </c:spPr>
          <c:invertIfNegative val="0"/>
          <c:cat>
            <c:strRef>
              <c:f>'Pivot Tables'!$A$4:$A$12</c:f>
              <c:strCache>
                <c:ptCount val="8"/>
                <c:pt idx="0">
                  <c:v>Lagos</c:v>
                </c:pt>
                <c:pt idx="1">
                  <c:v>Abuja</c:v>
                </c:pt>
                <c:pt idx="2">
                  <c:v>Rivers</c:v>
                </c:pt>
                <c:pt idx="3">
                  <c:v>Kano</c:v>
                </c:pt>
                <c:pt idx="4">
                  <c:v>Oyo</c:v>
                </c:pt>
                <c:pt idx="5">
                  <c:v>Enugu</c:v>
                </c:pt>
                <c:pt idx="6">
                  <c:v>Ogun</c:v>
                </c:pt>
                <c:pt idx="7">
                  <c:v>Kaduna</c:v>
                </c:pt>
              </c:strCache>
            </c:strRef>
          </c:cat>
          <c:val>
            <c:numRef>
              <c:f>'Pivot Tables'!$B$4:$B$12</c:f>
              <c:numCache>
                <c:formatCode>General</c:formatCode>
                <c:ptCount val="8"/>
                <c:pt idx="0">
                  <c:v>83</c:v>
                </c:pt>
                <c:pt idx="1">
                  <c:v>27</c:v>
                </c:pt>
                <c:pt idx="2">
                  <c:v>22</c:v>
                </c:pt>
                <c:pt idx="3">
                  <c:v>20</c:v>
                </c:pt>
                <c:pt idx="4">
                  <c:v>19</c:v>
                </c:pt>
                <c:pt idx="5">
                  <c:v>12</c:v>
                </c:pt>
                <c:pt idx="6">
                  <c:v>9</c:v>
                </c:pt>
                <c:pt idx="7">
                  <c:v>7</c:v>
                </c:pt>
              </c:numCache>
            </c:numRef>
          </c:val>
          <c:extLst>
            <c:ext xmlns:c16="http://schemas.microsoft.com/office/drawing/2014/chart" uri="{C3380CC4-5D6E-409C-BE32-E72D297353CC}">
              <c16:uniqueId val="{00000000-CB9F-4F59-B02A-5B7121215825}"/>
            </c:ext>
          </c:extLst>
        </c:ser>
        <c:dLbls>
          <c:showLegendKey val="0"/>
          <c:showVal val="0"/>
          <c:showCatName val="0"/>
          <c:showSerName val="0"/>
          <c:showPercent val="0"/>
          <c:showBubbleSize val="0"/>
        </c:dLbls>
        <c:gapWidth val="150"/>
        <c:overlap val="100"/>
        <c:axId val="1933796384"/>
        <c:axId val="1933797632"/>
      </c:barChart>
      <c:catAx>
        <c:axId val="193379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33797632"/>
        <c:crosses val="autoZero"/>
        <c:auto val="1"/>
        <c:lblAlgn val="ctr"/>
        <c:lblOffset val="100"/>
        <c:noMultiLvlLbl val="0"/>
      </c:catAx>
      <c:valAx>
        <c:axId val="193379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No.</a:t>
                </a:r>
                <a:r>
                  <a:rPr lang="en-US" sz="1400" baseline="0"/>
                  <a:t> of Customers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3379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20</xdr:col>
      <xdr:colOff>22245</xdr:colOff>
      <xdr:row>7</xdr:row>
      <xdr:rowOff>153793</xdr:rowOff>
    </xdr:from>
    <xdr:to>
      <xdr:col>25</xdr:col>
      <xdr:colOff>117592</xdr:colOff>
      <xdr:row>17</xdr:row>
      <xdr:rowOff>70554</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FED76258-7839-4FF7-88C9-9AAD96C6B69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323681" y="1815602"/>
              <a:ext cx="3135241" cy="1740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345124</xdr:colOff>
      <xdr:row>7</xdr:row>
      <xdr:rowOff>145229</xdr:rowOff>
    </xdr:from>
    <xdr:to>
      <xdr:col>19</xdr:col>
      <xdr:colOff>470370</xdr:colOff>
      <xdr:row>17</xdr:row>
      <xdr:rowOff>58797</xdr:rowOff>
    </xdr:to>
    <mc:AlternateContent xmlns:mc="http://schemas.openxmlformats.org/markup-compatibility/2006">
      <mc:Choice xmlns:a14="http://schemas.microsoft.com/office/drawing/2010/main" Requires="a14">
        <xdr:graphicFrame macro="">
          <xdr:nvGraphicFramePr>
            <xdr:cNvPr id="3" name="Age Groups">
              <a:extLst>
                <a:ext uri="{FF2B5EF4-FFF2-40B4-BE49-F238E27FC236}">
                  <a16:creationId xmlns:a16="http://schemas.microsoft.com/office/drawing/2014/main" id="{F0B360B5-176A-4ADE-9281-83A1872715C4}"/>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8998688" y="1807038"/>
              <a:ext cx="3165139" cy="1737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141111</xdr:colOff>
      <xdr:row>7</xdr:row>
      <xdr:rowOff>115621</xdr:rowOff>
    </xdr:from>
    <xdr:to>
      <xdr:col>14</xdr:col>
      <xdr:colOff>105833</xdr:colOff>
      <xdr:row>17</xdr:row>
      <xdr:rowOff>35277</xdr:rowOff>
    </xdr:to>
    <mc:AlternateContent xmlns:mc="http://schemas.openxmlformats.org/markup-compatibility/2006">
      <mc:Choice xmlns:tsle="http://schemas.microsoft.com/office/drawing/2012/timeslicer" Requires="tsle">
        <xdr:graphicFrame macro="">
          <xdr:nvGraphicFramePr>
            <xdr:cNvPr id="4" name="Date_Registered">
              <a:extLst>
                <a:ext uri="{FF2B5EF4-FFF2-40B4-BE49-F238E27FC236}">
                  <a16:creationId xmlns:a16="http://schemas.microsoft.com/office/drawing/2014/main" id="{B0DB9957-7E33-4317-B93C-DDD1D36AFD7D}"/>
                </a:ext>
              </a:extLst>
            </xdr:cNvPr>
            <xdr:cNvGraphicFramePr/>
          </xdr:nvGraphicFramePr>
          <xdr:xfrm>
            <a:off x="0" y="0"/>
            <a:ext cx="0" cy="0"/>
          </xdr:xfrm>
          <a:graphic>
            <a:graphicData uri="http://schemas.microsoft.com/office/drawing/2012/timeslicer">
              <tsle:timeslicer xmlns:tsle="http://schemas.microsoft.com/office/drawing/2012/timeslicer" name="Date_Registered"/>
            </a:graphicData>
          </a:graphic>
        </xdr:graphicFrame>
      </mc:Choice>
      <mc:Fallback>
        <xdr:sp macro="" textlink="">
          <xdr:nvSpPr>
            <xdr:cNvPr id="0" name=""/>
            <xdr:cNvSpPr>
              <a:spLocks noTextEdit="1"/>
            </xdr:cNvSpPr>
          </xdr:nvSpPr>
          <xdr:spPr>
            <a:xfrm>
              <a:off x="141111" y="1777430"/>
              <a:ext cx="8618286" cy="17435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30403</xdr:colOff>
      <xdr:row>18</xdr:row>
      <xdr:rowOff>34799</xdr:rowOff>
    </xdr:from>
    <xdr:to>
      <xdr:col>17</xdr:col>
      <xdr:colOff>257872</xdr:colOff>
      <xdr:row>31</xdr:row>
      <xdr:rowOff>58950</xdr:rowOff>
    </xdr:to>
    <xdr:graphicFrame macro="">
      <xdr:nvGraphicFramePr>
        <xdr:cNvPr id="5" name="Chart 4">
          <a:extLst>
            <a:ext uri="{FF2B5EF4-FFF2-40B4-BE49-F238E27FC236}">
              <a16:creationId xmlns:a16="http://schemas.microsoft.com/office/drawing/2014/main" id="{81966EE9-BDEE-4FE5-BEB2-12D1B7180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154780</xdr:colOff>
      <xdr:row>17</xdr:row>
      <xdr:rowOff>179789</xdr:rowOff>
    </xdr:from>
    <xdr:to>
      <xdr:col>8</xdr:col>
      <xdr:colOff>83342</xdr:colOff>
      <xdr:row>34</xdr:row>
      <xdr:rowOff>166686</xdr:rowOff>
    </xdr:to>
    <xdr:graphicFrame macro="">
      <xdr:nvGraphicFramePr>
        <xdr:cNvPr id="6" name="Chart 5">
          <a:extLst>
            <a:ext uri="{FF2B5EF4-FFF2-40B4-BE49-F238E27FC236}">
              <a16:creationId xmlns:a16="http://schemas.microsoft.com/office/drawing/2014/main" id="{DE8489D1-D980-4773-9B7B-52BDB16FB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321469</xdr:colOff>
      <xdr:row>18</xdr:row>
      <xdr:rowOff>116096</xdr:rowOff>
    </xdr:from>
    <xdr:to>
      <xdr:col>28</xdr:col>
      <xdr:colOff>488156</xdr:colOff>
      <xdr:row>34</xdr:row>
      <xdr:rowOff>59531</xdr:rowOff>
    </xdr:to>
    <xdr:graphicFrame macro="">
      <xdr:nvGraphicFramePr>
        <xdr:cNvPr id="7" name="Chart 6">
          <a:extLst>
            <a:ext uri="{FF2B5EF4-FFF2-40B4-BE49-F238E27FC236}">
              <a16:creationId xmlns:a16="http://schemas.microsoft.com/office/drawing/2014/main" id="{13D3E9B3-1592-4DCD-8CAF-6BB39FD57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270463</xdr:colOff>
      <xdr:row>7</xdr:row>
      <xdr:rowOff>172862</xdr:rowOff>
    </xdr:from>
    <xdr:to>
      <xdr:col>29</xdr:col>
      <xdr:colOff>341019</xdr:colOff>
      <xdr:row>17</xdr:row>
      <xdr:rowOff>55269</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612DF1FC-E499-4EB1-900A-35F00E9A9C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611793" y="1834671"/>
              <a:ext cx="2502471" cy="170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369092</xdr:colOff>
      <xdr:row>31</xdr:row>
      <xdr:rowOff>119064</xdr:rowOff>
    </xdr:from>
    <xdr:to>
      <xdr:col>19</xdr:col>
      <xdr:colOff>11905</xdr:colOff>
      <xdr:row>46</xdr:row>
      <xdr:rowOff>142874</xdr:rowOff>
    </xdr:to>
    <xdr:graphicFrame macro="">
      <xdr:nvGraphicFramePr>
        <xdr:cNvPr id="9" name="Chart 8">
          <a:extLst>
            <a:ext uri="{FF2B5EF4-FFF2-40B4-BE49-F238E27FC236}">
              <a16:creationId xmlns:a16="http://schemas.microsoft.com/office/drawing/2014/main" id="{2A977B10-69F5-474B-B6D4-7262E4787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1.488721412039" createdVersion="7" refreshedVersion="7" minRefreshableVersion="3" recordCount="199" xr:uid="{1B421489-8EB2-47DC-BBFC-F9041F27B0B9}">
  <cacheSource type="worksheet">
    <worksheetSource name="Table1"/>
  </cacheSource>
  <cacheFields count="14">
    <cacheField name="Customer_ID" numFmtId="0">
      <sharedItems/>
    </cacheField>
    <cacheField name="Age" numFmtId="0">
      <sharedItems containsString="0" containsBlank="1" containsNumber="1" containsInteger="1" minValue="18" maxValue="60"/>
    </cacheField>
    <cacheField name="Gender" numFmtId="0">
      <sharedItems count="2">
        <s v="Male"/>
        <s v="Female"/>
      </sharedItems>
    </cacheField>
    <cacheField name="State" numFmtId="0">
      <sharedItems containsBlank="1" count="9">
        <s v="Lagos"/>
        <s v="Kano"/>
        <s v="Oyo"/>
        <s v="Enugu"/>
        <s v="Rivers"/>
        <s v="Kaduna"/>
        <s v="Abuja"/>
        <s v="Ogun"/>
        <m u="1"/>
      </sharedItems>
    </cacheField>
    <cacheField name="Date_Registered" numFmtId="14">
      <sharedItems containsSemiMixedTypes="0" containsNonDate="0" containsDate="1" containsString="0" minDate="2026-01-02T00:00:00" maxDate="2026-07-01T00:00:00" count="121">
        <d v="2026-03-12T00:00:00"/>
        <d v="2026-02-25T00:00:00"/>
        <d v="2026-01-02T00:00:00"/>
        <d v="2026-04-02T00:00:00"/>
        <d v="2026-06-10T00:00:00"/>
        <d v="2026-01-26T00:00:00"/>
        <d v="2026-06-24T00:00:00"/>
        <d v="2026-06-13T00:00:00"/>
        <d v="2026-02-24T00:00:00"/>
        <d v="2026-02-05T00:00:00"/>
        <d v="2026-06-02T00:00:00"/>
        <d v="2026-04-22T00:00:00"/>
        <d v="2026-03-18T00:00:00"/>
        <d v="2026-01-29T00:00:00"/>
        <d v="2026-05-05T00:00:00"/>
        <d v="2026-06-05T00:00:00"/>
        <d v="2026-05-13T00:00:00"/>
        <d v="2026-06-11T00:00:00"/>
        <d v="2026-02-03T00:00:00"/>
        <d v="2026-04-21T00:00:00"/>
        <d v="2026-02-18T00:00:00"/>
        <d v="2026-05-19T00:00:00"/>
        <d v="2026-04-13T00:00:00"/>
        <d v="2026-05-23T00:00:00"/>
        <d v="2026-01-15T00:00:00"/>
        <d v="2026-06-22T00:00:00"/>
        <d v="2026-05-30T00:00:00"/>
        <d v="2026-06-17T00:00:00"/>
        <d v="2026-02-09T00:00:00"/>
        <d v="2026-04-19T00:00:00"/>
        <d v="2026-01-11T00:00:00"/>
        <d v="2026-05-24T00:00:00"/>
        <d v="2026-03-27T00:00:00"/>
        <d v="2026-05-01T00:00:00"/>
        <d v="2026-03-13T00:00:00"/>
        <d v="2026-01-30T00:00:00"/>
        <d v="2026-03-22T00:00:00"/>
        <d v="2026-05-18T00:00:00"/>
        <d v="2026-06-19T00:00:00"/>
        <d v="2026-06-20T00:00:00"/>
        <d v="2026-02-23T00:00:00"/>
        <d v="2026-02-13T00:00:00"/>
        <d v="2026-02-07T00:00:00"/>
        <d v="2026-04-09T00:00:00"/>
        <d v="2026-03-05T00:00:00"/>
        <d v="2026-05-21T00:00:00"/>
        <d v="2026-06-27T00:00:00"/>
        <d v="2026-04-10T00:00:00"/>
        <d v="2026-06-01T00:00:00"/>
        <d v="2026-04-27T00:00:00"/>
        <d v="2026-01-14T00:00:00"/>
        <d v="2026-06-09T00:00:00"/>
        <d v="2026-06-26T00:00:00"/>
        <d v="2026-01-18T00:00:00"/>
        <d v="2026-03-04T00:00:00"/>
        <d v="2026-03-25T00:00:00"/>
        <d v="2026-02-26T00:00:00"/>
        <d v="2026-05-04T00:00:00"/>
        <d v="2026-03-19T00:00:00"/>
        <d v="2026-01-04T00:00:00"/>
        <d v="2026-01-19T00:00:00"/>
        <d v="2026-04-17T00:00:00"/>
        <d v="2026-06-08T00:00:00"/>
        <d v="2026-02-14T00:00:00"/>
        <d v="2026-06-15T00:00:00"/>
        <d v="2026-04-30T00:00:00"/>
        <d v="2026-03-24T00:00:00"/>
        <d v="2026-04-03T00:00:00"/>
        <d v="2026-01-24T00:00:00"/>
        <d v="2026-03-30T00:00:00"/>
        <d v="2026-04-16T00:00:00"/>
        <d v="2026-06-06T00:00:00"/>
        <d v="2026-05-27T00:00:00"/>
        <d v="2026-05-08T00:00:00"/>
        <d v="2026-06-23T00:00:00"/>
        <d v="2026-04-04T00:00:00"/>
        <d v="2026-03-11T00:00:00"/>
        <d v="2026-02-27T00:00:00"/>
        <d v="2026-02-01T00:00:00"/>
        <d v="2026-01-12T00:00:00"/>
        <d v="2026-06-28T00:00:00"/>
        <d v="2026-02-02T00:00:00"/>
        <d v="2026-05-02T00:00:00"/>
        <d v="2026-01-08T00:00:00"/>
        <d v="2026-06-29T00:00:00"/>
        <d v="2026-01-22T00:00:00"/>
        <d v="2026-05-26T00:00:00"/>
        <d v="2026-06-21T00:00:00"/>
        <d v="2026-03-28T00:00:00"/>
        <d v="2026-06-18T00:00:00"/>
        <d v="2026-03-21T00:00:00"/>
        <d v="2026-02-16T00:00:00"/>
        <d v="2026-05-09T00:00:00"/>
        <d v="2026-01-05T00:00:00"/>
        <d v="2026-05-28T00:00:00"/>
        <d v="2026-01-17T00:00:00"/>
        <d v="2026-05-12T00:00:00"/>
        <d v="2026-04-05T00:00:00"/>
        <d v="2026-02-06T00:00:00"/>
        <d v="2026-01-09T00:00:00"/>
        <d v="2026-06-16T00:00:00"/>
        <d v="2026-03-08T00:00:00"/>
        <d v="2026-04-24T00:00:00"/>
        <d v="2026-02-10T00:00:00"/>
        <d v="2026-03-02T00:00:00"/>
        <d v="2026-04-12T00:00:00"/>
        <d v="2026-04-26T00:00:00"/>
        <d v="2026-03-06T00:00:00"/>
        <d v="2026-05-29T00:00:00"/>
        <d v="2026-06-14T00:00:00"/>
        <d v="2026-05-20T00:00:00"/>
        <d v="2026-01-13T00:00:00"/>
        <d v="2026-03-09T00:00:00"/>
        <d v="2026-05-10T00:00:00"/>
        <d v="2026-06-07T00:00:00"/>
        <d v="2026-04-23T00:00:00"/>
        <d v="2026-06-30T00:00:00"/>
        <d v="2026-05-31T00:00:00"/>
        <d v="2026-03-15T00:00:00"/>
        <d v="2026-02-15T00:00:00"/>
        <d v="2026-06-04T00:00:00"/>
      </sharedItems>
    </cacheField>
    <cacheField name="Verification_Status" numFmtId="0">
      <sharedItems/>
    </cacheField>
    <cacheField name="Activation_Status" numFmtId="0">
      <sharedItems containsBlank="1" count="3">
        <s v="Activated"/>
        <s v="Not Activated"/>
        <m u="1"/>
      </sharedItems>
    </cacheField>
    <cacheField name="Days_to_Activate" numFmtId="0">
      <sharedItems containsString="0" containsBlank="1" containsNumber="1" containsInteger="1" minValue="0" maxValue="45"/>
    </cacheField>
    <cacheField name="Account_Type" numFmtId="0">
      <sharedItems containsBlank="1" count="4">
        <s v="Current"/>
        <s v="Savings"/>
        <s v="Premium"/>
        <m u="1"/>
      </sharedItems>
    </cacheField>
    <cacheField name="Monthly_Transactions" numFmtId="0">
      <sharedItems containsSemiMixedTypes="0" containsString="0" containsNumber="1" containsInteger="1" minValue="0" maxValue="80"/>
    </cacheField>
    <cacheField name="Monthly_Transaction_Value" numFmtId="164">
      <sharedItems containsString="0" containsBlank="1" containsNumber="1" containsInteger="1" minValue="0" maxValue="857376"/>
    </cacheField>
    <cacheField name="Customer_Satisfaction_Score" numFmtId="0">
      <sharedItems containsSemiMixedTypes="0" containsString="0" containsNumber="1" containsInteger="1" minValue="1" maxValue="7"/>
    </cacheField>
    <cacheField name="Age Groups" numFmtId="0">
      <sharedItems count="7">
        <s v="50-59"/>
        <s v="40-49"/>
        <s v="20-29"/>
        <s v="30-39"/>
        <s v="60+"/>
        <s v="Below 20"/>
        <s v="Missing"/>
      </sharedItems>
    </cacheField>
    <cacheField name="Activation Speed" numFmtId="0">
      <sharedItems count="4">
        <s v="Fast"/>
        <s v="Slow"/>
        <s v="Moderate"/>
        <s v="Outlier"/>
      </sharedItems>
    </cacheField>
  </cacheFields>
  <extLst>
    <ext xmlns:x14="http://schemas.microsoft.com/office/spreadsheetml/2009/9/main" uri="{725AE2AE-9491-48be-B2B4-4EB974FC3084}">
      <x14:pivotCacheDefinition pivotCacheId="721729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CUST0001"/>
    <n v="58"/>
    <x v="0"/>
    <x v="0"/>
    <x v="0"/>
    <s v="Verified"/>
    <x v="0"/>
    <n v="1"/>
    <x v="0"/>
    <n v="69"/>
    <n v="201756"/>
    <n v="5"/>
    <x v="0"/>
    <x v="0"/>
  </r>
  <r>
    <s v="CUST0002"/>
    <n v="45"/>
    <x v="0"/>
    <x v="0"/>
    <x v="1"/>
    <s v="Verified"/>
    <x v="0"/>
    <n v="8"/>
    <x v="1"/>
    <n v="69"/>
    <n v="577737"/>
    <n v="2"/>
    <x v="1"/>
    <x v="1"/>
  </r>
  <r>
    <s v="CUST0003"/>
    <n v="46"/>
    <x v="1"/>
    <x v="1"/>
    <x v="2"/>
    <s v="Verified"/>
    <x v="0"/>
    <n v="6"/>
    <x v="1"/>
    <n v="19"/>
    <n v="95513"/>
    <n v="3"/>
    <x v="1"/>
    <x v="2"/>
  </r>
  <r>
    <s v="CUST0004"/>
    <n v="24"/>
    <x v="0"/>
    <x v="0"/>
    <x v="3"/>
    <s v="Verified"/>
    <x v="0"/>
    <n v="12"/>
    <x v="1"/>
    <n v="58"/>
    <n v="596530"/>
    <n v="1"/>
    <x v="2"/>
    <x v="1"/>
  </r>
  <r>
    <s v="CUST0005"/>
    <n v="42"/>
    <x v="0"/>
    <x v="2"/>
    <x v="4"/>
    <s v="Verified"/>
    <x v="0"/>
    <n v="9"/>
    <x v="1"/>
    <n v="8"/>
    <n v="18000"/>
    <n v="2"/>
    <x v="1"/>
    <x v="1"/>
  </r>
  <r>
    <s v="CUST0006"/>
    <n v="36"/>
    <x v="0"/>
    <x v="3"/>
    <x v="5"/>
    <s v="Verified"/>
    <x v="0"/>
    <n v="13"/>
    <x v="1"/>
    <n v="47"/>
    <n v="344040"/>
    <n v="2"/>
    <x v="3"/>
    <x v="1"/>
  </r>
  <r>
    <s v="CUST0007"/>
    <n v="60"/>
    <x v="1"/>
    <x v="4"/>
    <x v="6"/>
    <s v="Verified"/>
    <x v="0"/>
    <n v="2"/>
    <x v="1"/>
    <n v="31"/>
    <n v="129487"/>
    <n v="4"/>
    <x v="4"/>
    <x v="0"/>
  </r>
  <r>
    <s v="CUST0008"/>
    <n v="42"/>
    <x v="1"/>
    <x v="5"/>
    <x v="7"/>
    <s v="Verified"/>
    <x v="0"/>
    <n v="5"/>
    <x v="0"/>
    <n v="7"/>
    <n v="36764"/>
    <n v="1"/>
    <x v="1"/>
    <x v="2"/>
  </r>
  <r>
    <s v="CUST0009"/>
    <n v="38"/>
    <x v="1"/>
    <x v="0"/>
    <x v="8"/>
    <s v="Pending"/>
    <x v="1"/>
    <m/>
    <x v="0"/>
    <n v="1"/>
    <n v="9679"/>
    <n v="4"/>
    <x v="3"/>
    <x v="0"/>
  </r>
  <r>
    <s v="CUST0010"/>
    <n v="59"/>
    <x v="1"/>
    <x v="0"/>
    <x v="9"/>
    <s v="Verified"/>
    <x v="0"/>
    <n v="5"/>
    <x v="0"/>
    <n v="54"/>
    <n v="597240"/>
    <n v="4"/>
    <x v="0"/>
    <x v="2"/>
  </r>
  <r>
    <s v="CUST0011"/>
    <n v="41"/>
    <x v="0"/>
    <x v="5"/>
    <x v="9"/>
    <s v="Verified"/>
    <x v="0"/>
    <n v="0"/>
    <x v="0"/>
    <n v="19"/>
    <n v="223820"/>
    <n v="3"/>
    <x v="1"/>
    <x v="0"/>
  </r>
  <r>
    <s v="CUST0012"/>
    <n v="45"/>
    <x v="0"/>
    <x v="0"/>
    <x v="10"/>
    <s v="Pending"/>
    <x v="1"/>
    <m/>
    <x v="2"/>
    <n v="0"/>
    <n v="0"/>
    <n v="3"/>
    <x v="1"/>
    <x v="0"/>
  </r>
  <r>
    <s v="CUST0013"/>
    <n v="59"/>
    <x v="1"/>
    <x v="0"/>
    <x v="11"/>
    <s v="Verified"/>
    <x v="0"/>
    <n v="11"/>
    <x v="0"/>
    <n v="33"/>
    <n v="320133"/>
    <n v="2"/>
    <x v="0"/>
    <x v="1"/>
  </r>
  <r>
    <s v="CUST0014"/>
    <n v="50"/>
    <x v="0"/>
    <x v="3"/>
    <x v="12"/>
    <s v="Verified"/>
    <x v="0"/>
    <n v="3"/>
    <x v="1"/>
    <n v="20"/>
    <n v="206740"/>
    <n v="5"/>
    <x v="0"/>
    <x v="0"/>
  </r>
  <r>
    <s v="CUST0015"/>
    <n v="18"/>
    <x v="1"/>
    <x v="6"/>
    <x v="13"/>
    <s v="Pending"/>
    <x v="1"/>
    <m/>
    <x v="0"/>
    <n v="2"/>
    <n v="10846"/>
    <n v="1"/>
    <x v="5"/>
    <x v="0"/>
  </r>
  <r>
    <s v="CUST0016"/>
    <n v="33"/>
    <x v="0"/>
    <x v="0"/>
    <x v="14"/>
    <s v="Verified"/>
    <x v="1"/>
    <m/>
    <x v="1"/>
    <n v="1"/>
    <n v="3603"/>
    <n v="4"/>
    <x v="3"/>
    <x v="0"/>
  </r>
  <r>
    <s v="CUST0017"/>
    <n v="53"/>
    <x v="0"/>
    <x v="0"/>
    <x v="15"/>
    <s v="Verified"/>
    <x v="0"/>
    <n v="8"/>
    <x v="0"/>
    <n v="25"/>
    <n v="165175"/>
    <n v="4"/>
    <x v="0"/>
    <x v="1"/>
  </r>
  <r>
    <s v="CUST0018"/>
    <n v="60"/>
    <x v="1"/>
    <x v="6"/>
    <x v="16"/>
    <s v="Verified"/>
    <x v="0"/>
    <n v="1"/>
    <x v="1"/>
    <n v="75"/>
    <n v="793125"/>
    <n v="3"/>
    <x v="4"/>
    <x v="0"/>
  </r>
  <r>
    <s v="CUST0019"/>
    <n v="55"/>
    <x v="0"/>
    <x v="0"/>
    <x v="17"/>
    <s v="Verified"/>
    <x v="0"/>
    <n v="0"/>
    <x v="0"/>
    <n v="9"/>
    <n v="89307"/>
    <n v="3"/>
    <x v="0"/>
    <x v="0"/>
  </r>
  <r>
    <s v="CUST0020"/>
    <n v="35"/>
    <x v="1"/>
    <x v="0"/>
    <x v="18"/>
    <s v="Verified"/>
    <x v="1"/>
    <m/>
    <x v="1"/>
    <n v="1"/>
    <n v="9249"/>
    <n v="4"/>
    <x v="3"/>
    <x v="0"/>
  </r>
  <r>
    <s v="CUST0021"/>
    <n v="30"/>
    <x v="0"/>
    <x v="0"/>
    <x v="19"/>
    <s v="Verified"/>
    <x v="0"/>
    <n v="13"/>
    <x v="0"/>
    <n v="12"/>
    <n v="29916"/>
    <n v="4"/>
    <x v="3"/>
    <x v="1"/>
  </r>
  <r>
    <s v="CUST0022"/>
    <n v="39"/>
    <x v="0"/>
    <x v="0"/>
    <x v="20"/>
    <s v="Verified"/>
    <x v="0"/>
    <n v="2"/>
    <x v="1"/>
    <n v="31"/>
    <n v="84785"/>
    <n v="4"/>
    <x v="3"/>
    <x v="0"/>
  </r>
  <r>
    <s v="CUST0023"/>
    <n v="53"/>
    <x v="0"/>
    <x v="0"/>
    <x v="21"/>
    <s v="Verified"/>
    <x v="1"/>
    <m/>
    <x v="2"/>
    <n v="1"/>
    <n v="4224"/>
    <n v="4"/>
    <x v="0"/>
    <x v="0"/>
  </r>
  <r>
    <s v="CUST0024"/>
    <n v="49"/>
    <x v="1"/>
    <x v="0"/>
    <x v="22"/>
    <s v="Pending"/>
    <x v="1"/>
    <m/>
    <x v="1"/>
    <n v="3"/>
    <n v="17535"/>
    <n v="4"/>
    <x v="1"/>
    <x v="0"/>
  </r>
  <r>
    <s v="CUST0025"/>
    <m/>
    <x v="1"/>
    <x v="4"/>
    <x v="23"/>
    <s v="Verified"/>
    <x v="0"/>
    <n v="3"/>
    <x v="1"/>
    <n v="7"/>
    <n v="76923"/>
    <n v="5"/>
    <x v="6"/>
    <x v="0"/>
  </r>
  <r>
    <s v="CUST0026"/>
    <n v="52"/>
    <x v="0"/>
    <x v="4"/>
    <x v="24"/>
    <s v="Verified"/>
    <x v="0"/>
    <n v="14"/>
    <x v="0"/>
    <n v="20"/>
    <n v="48620"/>
    <n v="1"/>
    <x v="0"/>
    <x v="1"/>
  </r>
  <r>
    <s v="CUST0027"/>
    <n v="29"/>
    <x v="0"/>
    <x v="2"/>
    <x v="25"/>
    <s v="Pending"/>
    <x v="1"/>
    <m/>
    <x v="2"/>
    <n v="4"/>
    <n v="22132"/>
    <n v="1"/>
    <x v="2"/>
    <x v="0"/>
  </r>
  <r>
    <s v="CUST0028"/>
    <n v="57"/>
    <x v="0"/>
    <x v="6"/>
    <x v="26"/>
    <s v="Verified"/>
    <x v="0"/>
    <n v="4"/>
    <x v="1"/>
    <n v="40"/>
    <n v="216400"/>
    <n v="3"/>
    <x v="0"/>
    <x v="2"/>
  </r>
  <r>
    <s v="CUST0029"/>
    <n v="43"/>
    <x v="0"/>
    <x v="4"/>
    <x v="12"/>
    <s v="Verified"/>
    <x v="1"/>
    <m/>
    <x v="2"/>
    <n v="0"/>
    <n v="0"/>
    <n v="1"/>
    <x v="1"/>
    <x v="0"/>
  </r>
  <r>
    <s v="CUST0030"/>
    <n v="22"/>
    <x v="0"/>
    <x v="6"/>
    <x v="18"/>
    <s v="Pending"/>
    <x v="1"/>
    <m/>
    <x v="0"/>
    <n v="2"/>
    <n v="12338"/>
    <n v="2"/>
    <x v="2"/>
    <x v="0"/>
  </r>
  <r>
    <s v="CUST0031"/>
    <n v="46"/>
    <x v="1"/>
    <x v="2"/>
    <x v="27"/>
    <s v="Verified"/>
    <x v="0"/>
    <n v="8"/>
    <x v="1"/>
    <n v="13"/>
    <n v="48100"/>
    <n v="3"/>
    <x v="1"/>
    <x v="1"/>
  </r>
  <r>
    <s v="CUST0032"/>
    <n v="25"/>
    <x v="0"/>
    <x v="4"/>
    <x v="28"/>
    <s v="Verified"/>
    <x v="0"/>
    <n v="11"/>
    <x v="1"/>
    <n v="33"/>
    <n v="322740"/>
    <n v="4"/>
    <x v="2"/>
    <x v="1"/>
  </r>
  <r>
    <s v="CUST0033"/>
    <n v="34"/>
    <x v="0"/>
    <x v="0"/>
    <x v="29"/>
    <s v="Verified"/>
    <x v="0"/>
    <n v="5"/>
    <x v="0"/>
    <n v="33"/>
    <n v="136851"/>
    <n v="4"/>
    <x v="3"/>
    <x v="2"/>
  </r>
  <r>
    <s v="CUST0034"/>
    <n v="53"/>
    <x v="1"/>
    <x v="2"/>
    <x v="13"/>
    <s v="Verified"/>
    <x v="1"/>
    <m/>
    <x v="2"/>
    <n v="4"/>
    <n v="8360"/>
    <n v="3"/>
    <x v="0"/>
    <x v="0"/>
  </r>
  <r>
    <s v="CUST0035"/>
    <n v="55"/>
    <x v="0"/>
    <x v="6"/>
    <x v="30"/>
    <s v="Verified"/>
    <x v="1"/>
    <m/>
    <x v="0"/>
    <n v="0"/>
    <n v="0"/>
    <n v="2"/>
    <x v="0"/>
    <x v="0"/>
  </r>
  <r>
    <s v="CUST0036"/>
    <n v="33"/>
    <x v="0"/>
    <x v="0"/>
    <x v="31"/>
    <s v="Pending"/>
    <x v="1"/>
    <m/>
    <x v="0"/>
    <n v="1"/>
    <n v="5378"/>
    <n v="2"/>
    <x v="3"/>
    <x v="0"/>
  </r>
  <r>
    <s v="CUST0037"/>
    <n v="29"/>
    <x v="1"/>
    <x v="0"/>
    <x v="32"/>
    <s v="Verified"/>
    <x v="0"/>
    <n v="10"/>
    <x v="0"/>
    <n v="31"/>
    <n v="182001"/>
    <n v="2"/>
    <x v="2"/>
    <x v="1"/>
  </r>
  <r>
    <s v="CUST0038"/>
    <n v="24"/>
    <x v="1"/>
    <x v="3"/>
    <x v="33"/>
    <s v="Verified"/>
    <x v="0"/>
    <n v="7"/>
    <x v="1"/>
    <n v="29"/>
    <n v="149408"/>
    <n v="1"/>
    <x v="2"/>
    <x v="2"/>
  </r>
  <r>
    <s v="CUST0039"/>
    <n v="60"/>
    <x v="0"/>
    <x v="0"/>
    <x v="34"/>
    <s v="Pending"/>
    <x v="1"/>
    <m/>
    <x v="1"/>
    <n v="5"/>
    <n v="49230"/>
    <n v="4"/>
    <x v="4"/>
    <x v="0"/>
  </r>
  <r>
    <s v="CUST0040"/>
    <n v="52"/>
    <x v="1"/>
    <x v="7"/>
    <x v="35"/>
    <s v="Pending"/>
    <x v="1"/>
    <m/>
    <x v="1"/>
    <n v="2"/>
    <n v="4252"/>
    <n v="1"/>
    <x v="0"/>
    <x v="0"/>
  </r>
  <r>
    <s v="CUST0041"/>
    <n v="56"/>
    <x v="1"/>
    <x v="0"/>
    <x v="36"/>
    <s v="Verified"/>
    <x v="1"/>
    <m/>
    <x v="1"/>
    <n v="4"/>
    <n v="18456"/>
    <n v="3"/>
    <x v="0"/>
    <x v="0"/>
  </r>
  <r>
    <s v="CUST0042"/>
    <n v="20"/>
    <x v="1"/>
    <x v="0"/>
    <x v="37"/>
    <s v="Verified"/>
    <x v="1"/>
    <m/>
    <x v="0"/>
    <n v="1"/>
    <n v="7467"/>
    <n v="4"/>
    <x v="2"/>
    <x v="0"/>
  </r>
  <r>
    <s v="CUST0043"/>
    <n v="22"/>
    <x v="1"/>
    <x v="2"/>
    <x v="38"/>
    <s v="Verified"/>
    <x v="0"/>
    <n v="4"/>
    <x v="1"/>
    <n v="52"/>
    <n v="355888"/>
    <n v="4"/>
    <x v="2"/>
    <x v="2"/>
  </r>
  <r>
    <s v="CUST0044"/>
    <n v="36"/>
    <x v="0"/>
    <x v="0"/>
    <x v="39"/>
    <s v="Pending"/>
    <x v="1"/>
    <m/>
    <x v="2"/>
    <n v="4"/>
    <n v="43296"/>
    <n v="3"/>
    <x v="3"/>
    <x v="0"/>
  </r>
  <r>
    <s v="CUST0045"/>
    <n v="43"/>
    <x v="0"/>
    <x v="0"/>
    <x v="40"/>
    <s v="Verified"/>
    <x v="0"/>
    <n v="10"/>
    <x v="1"/>
    <n v="56"/>
    <n v="489664"/>
    <n v="2"/>
    <x v="1"/>
    <x v="1"/>
  </r>
  <r>
    <s v="CUST0046"/>
    <n v="50"/>
    <x v="1"/>
    <x v="1"/>
    <x v="41"/>
    <s v="Verified"/>
    <x v="0"/>
    <n v="10"/>
    <x v="0"/>
    <n v="42"/>
    <n v="127260"/>
    <n v="2"/>
    <x v="0"/>
    <x v="1"/>
  </r>
  <r>
    <s v="CUST0047"/>
    <n v="37"/>
    <x v="0"/>
    <x v="1"/>
    <x v="42"/>
    <s v="Verified"/>
    <x v="0"/>
    <n v="7"/>
    <x v="0"/>
    <n v="9"/>
    <n v="80649"/>
    <n v="4"/>
    <x v="3"/>
    <x v="2"/>
  </r>
  <r>
    <s v="CUST0048"/>
    <n v="58"/>
    <x v="0"/>
    <x v="4"/>
    <x v="43"/>
    <s v="Verified"/>
    <x v="0"/>
    <n v="10"/>
    <x v="0"/>
    <n v="13"/>
    <n v="110045"/>
    <n v="2"/>
    <x v="0"/>
    <x v="1"/>
  </r>
  <r>
    <s v="CUST0049"/>
    <n v="29"/>
    <x v="1"/>
    <x v="0"/>
    <x v="44"/>
    <s v="Pending"/>
    <x v="1"/>
    <m/>
    <x v="1"/>
    <n v="3"/>
    <n v="30606"/>
    <n v="3"/>
    <x v="2"/>
    <x v="0"/>
  </r>
  <r>
    <s v="CUST0050"/>
    <n v="46"/>
    <x v="1"/>
    <x v="1"/>
    <x v="45"/>
    <s v="Verified"/>
    <x v="0"/>
    <n v="13"/>
    <x v="1"/>
    <n v="33"/>
    <n v="183150"/>
    <n v="3"/>
    <x v="1"/>
    <x v="1"/>
  </r>
  <r>
    <s v="CUST0051"/>
    <n v="51"/>
    <x v="1"/>
    <x v="2"/>
    <x v="0"/>
    <s v="Verified"/>
    <x v="0"/>
    <n v="3"/>
    <x v="1"/>
    <n v="40"/>
    <m/>
    <n v="3"/>
    <x v="0"/>
    <x v="0"/>
  </r>
  <r>
    <s v="CUST0052"/>
    <n v="26"/>
    <x v="0"/>
    <x v="0"/>
    <x v="46"/>
    <s v="Verified"/>
    <x v="0"/>
    <n v="6"/>
    <x v="1"/>
    <n v="69"/>
    <n v="630177"/>
    <n v="4"/>
    <x v="2"/>
    <x v="2"/>
  </r>
  <r>
    <s v="CUST0053"/>
    <n v="21"/>
    <x v="0"/>
    <x v="1"/>
    <x v="47"/>
    <s v="Pending"/>
    <x v="1"/>
    <m/>
    <x v="0"/>
    <n v="4"/>
    <n v="30928"/>
    <n v="4"/>
    <x v="2"/>
    <x v="0"/>
  </r>
  <r>
    <s v="CUST0054"/>
    <n v="18"/>
    <x v="1"/>
    <x v="0"/>
    <x v="47"/>
    <s v="Pending"/>
    <x v="1"/>
    <m/>
    <x v="1"/>
    <n v="5"/>
    <n v="52235"/>
    <n v="2"/>
    <x v="5"/>
    <x v="0"/>
  </r>
  <r>
    <s v="CUST0055"/>
    <n v="49"/>
    <x v="0"/>
    <x v="0"/>
    <x v="14"/>
    <s v="Verified"/>
    <x v="0"/>
    <n v="10"/>
    <x v="0"/>
    <n v="21"/>
    <n v="192297"/>
    <n v="2"/>
    <x v="1"/>
    <x v="1"/>
  </r>
  <r>
    <s v="CUST0056"/>
    <n v="57"/>
    <x v="0"/>
    <x v="3"/>
    <x v="48"/>
    <s v="Verified"/>
    <x v="0"/>
    <n v="10"/>
    <x v="1"/>
    <n v="59"/>
    <n v="264143"/>
    <n v="1"/>
    <x v="0"/>
    <x v="1"/>
  </r>
  <r>
    <s v="CUST0057"/>
    <n v="34"/>
    <x v="1"/>
    <x v="0"/>
    <x v="49"/>
    <s v="Verified"/>
    <x v="0"/>
    <n v="6"/>
    <x v="1"/>
    <n v="53"/>
    <n v="298549"/>
    <n v="1"/>
    <x v="3"/>
    <x v="2"/>
  </r>
  <r>
    <s v="CUST0058"/>
    <n v="48"/>
    <x v="0"/>
    <x v="4"/>
    <x v="50"/>
    <s v="Pending"/>
    <x v="1"/>
    <m/>
    <x v="0"/>
    <n v="5"/>
    <n v="10795"/>
    <n v="1"/>
    <x v="1"/>
    <x v="0"/>
  </r>
  <r>
    <s v="CUST0059"/>
    <n v="33"/>
    <x v="0"/>
    <x v="1"/>
    <x v="51"/>
    <s v="Verified"/>
    <x v="0"/>
    <n v="10"/>
    <x v="1"/>
    <n v="27"/>
    <n v="246213"/>
    <n v="3"/>
    <x v="3"/>
    <x v="1"/>
  </r>
  <r>
    <s v="CUST0060"/>
    <n v="41"/>
    <x v="0"/>
    <x v="2"/>
    <x v="35"/>
    <s v="Verified"/>
    <x v="0"/>
    <n v="4"/>
    <x v="1"/>
    <n v="3"/>
    <n v="19833"/>
    <n v="4"/>
    <x v="1"/>
    <x v="2"/>
  </r>
  <r>
    <s v="CUST0061"/>
    <n v="43"/>
    <x v="0"/>
    <x v="0"/>
    <x v="52"/>
    <s v="Verified"/>
    <x v="0"/>
    <n v="11"/>
    <x v="0"/>
    <n v="76"/>
    <n v="264708"/>
    <n v="1"/>
    <x v="1"/>
    <x v="1"/>
  </r>
  <r>
    <s v="CUST0062"/>
    <n v="40"/>
    <x v="1"/>
    <x v="2"/>
    <x v="53"/>
    <s v="Verified"/>
    <x v="0"/>
    <n v="13"/>
    <x v="1"/>
    <n v="62"/>
    <n v="200198"/>
    <n v="4"/>
    <x v="1"/>
    <x v="1"/>
  </r>
  <r>
    <s v="CUST0063"/>
    <n v="41"/>
    <x v="1"/>
    <x v="4"/>
    <x v="11"/>
    <s v="Verified"/>
    <x v="0"/>
    <n v="10"/>
    <x v="1"/>
    <n v="68"/>
    <n v="640628"/>
    <n v="4"/>
    <x v="1"/>
    <x v="1"/>
  </r>
  <r>
    <s v="CUST0064"/>
    <n v="45"/>
    <x v="1"/>
    <x v="0"/>
    <x v="54"/>
    <s v="Verified"/>
    <x v="0"/>
    <n v="14"/>
    <x v="1"/>
    <n v="59"/>
    <n v="639324"/>
    <n v="4"/>
    <x v="1"/>
    <x v="1"/>
  </r>
  <r>
    <s v="CUST0065"/>
    <n v="39"/>
    <x v="0"/>
    <x v="6"/>
    <x v="55"/>
    <s v="Verified"/>
    <x v="0"/>
    <n v="12"/>
    <x v="1"/>
    <n v="35"/>
    <n v="394345"/>
    <n v="3"/>
    <x v="3"/>
    <x v="1"/>
  </r>
  <r>
    <s v="CUST0066"/>
    <n v="53"/>
    <x v="0"/>
    <x v="6"/>
    <x v="20"/>
    <s v="Verified"/>
    <x v="0"/>
    <n v="7"/>
    <x v="1"/>
    <n v="30"/>
    <n v="279000"/>
    <n v="4"/>
    <x v="0"/>
    <x v="2"/>
  </r>
  <r>
    <s v="CUST0067"/>
    <n v="46"/>
    <x v="0"/>
    <x v="0"/>
    <x v="56"/>
    <s v="Verified"/>
    <x v="0"/>
    <n v="10"/>
    <x v="1"/>
    <n v="60"/>
    <n v="634080"/>
    <n v="3"/>
    <x v="1"/>
    <x v="1"/>
  </r>
  <r>
    <s v="CUST0068"/>
    <n v="45"/>
    <x v="1"/>
    <x v="0"/>
    <x v="49"/>
    <s v="Verified"/>
    <x v="0"/>
    <n v="1"/>
    <x v="0"/>
    <n v="40"/>
    <n v="138320"/>
    <n v="5"/>
    <x v="1"/>
    <x v="0"/>
  </r>
  <r>
    <s v="CUST0069"/>
    <n v="52"/>
    <x v="0"/>
    <x v="0"/>
    <x v="57"/>
    <s v="Verified"/>
    <x v="0"/>
    <n v="12"/>
    <x v="1"/>
    <n v="36"/>
    <n v="113292"/>
    <n v="2"/>
    <x v="0"/>
    <x v="1"/>
  </r>
  <r>
    <s v="CUST0070"/>
    <n v="36"/>
    <x v="0"/>
    <x v="0"/>
    <x v="58"/>
    <s v="Verified"/>
    <x v="0"/>
    <n v="4"/>
    <x v="1"/>
    <n v="6"/>
    <n v="63396"/>
    <n v="3"/>
    <x v="3"/>
    <x v="2"/>
  </r>
  <r>
    <s v="CUST0071"/>
    <n v="26"/>
    <x v="1"/>
    <x v="0"/>
    <x v="59"/>
    <s v="Verified"/>
    <x v="0"/>
    <n v="7"/>
    <x v="1"/>
    <n v="6"/>
    <n v="33816"/>
    <n v="4"/>
    <x v="2"/>
    <x v="2"/>
  </r>
  <r>
    <s v="CUST0072"/>
    <n v="25"/>
    <x v="0"/>
    <x v="6"/>
    <x v="60"/>
    <s v="Verified"/>
    <x v="0"/>
    <n v="2"/>
    <x v="1"/>
    <n v="72"/>
    <n v="466416"/>
    <n v="3"/>
    <x v="2"/>
    <x v="0"/>
  </r>
  <r>
    <s v="CUST0073"/>
    <n v="33"/>
    <x v="0"/>
    <x v="2"/>
    <x v="61"/>
    <s v="Verified"/>
    <x v="0"/>
    <n v="3"/>
    <x v="0"/>
    <n v="48"/>
    <n v="426288"/>
    <n v="4"/>
    <x v="3"/>
    <x v="0"/>
  </r>
  <r>
    <s v="CUST0074"/>
    <n v="37"/>
    <x v="1"/>
    <x v="0"/>
    <x v="62"/>
    <s v="Verified"/>
    <x v="1"/>
    <m/>
    <x v="1"/>
    <n v="1"/>
    <n v="11748"/>
    <n v="2"/>
    <x v="3"/>
    <x v="0"/>
  </r>
  <r>
    <s v="CUST0075"/>
    <n v="34"/>
    <x v="0"/>
    <x v="0"/>
    <x v="63"/>
    <s v="Verified"/>
    <x v="0"/>
    <n v="6"/>
    <x v="1"/>
    <n v="76"/>
    <n v="699124"/>
    <n v="3"/>
    <x v="3"/>
    <x v="2"/>
  </r>
  <r>
    <s v="CUST0077"/>
    <n v="45"/>
    <x v="0"/>
    <x v="6"/>
    <x v="64"/>
    <s v="Verified"/>
    <x v="0"/>
    <n v="2"/>
    <x v="1"/>
    <n v="21"/>
    <n v="137319"/>
    <n v="5"/>
    <x v="1"/>
    <x v="0"/>
  </r>
  <r>
    <s v="CUST0078"/>
    <n v="54"/>
    <x v="1"/>
    <x v="6"/>
    <x v="65"/>
    <s v="Verified"/>
    <x v="0"/>
    <n v="4"/>
    <x v="1"/>
    <n v="63"/>
    <n v="546336"/>
    <n v="1"/>
    <x v="0"/>
    <x v="2"/>
  </r>
  <r>
    <s v="CUST0079"/>
    <n v="56"/>
    <x v="0"/>
    <x v="3"/>
    <x v="66"/>
    <s v="Verified"/>
    <x v="0"/>
    <n v="3"/>
    <x v="2"/>
    <n v="73"/>
    <n v="811687"/>
    <n v="3"/>
    <x v="0"/>
    <x v="0"/>
  </r>
  <r>
    <s v="CUST0080"/>
    <n v="35"/>
    <x v="0"/>
    <x v="4"/>
    <x v="63"/>
    <s v="Verified"/>
    <x v="0"/>
    <n v="14"/>
    <x v="1"/>
    <n v="74"/>
    <n v="639434"/>
    <n v="4"/>
    <x v="3"/>
    <x v="1"/>
  </r>
  <r>
    <s v="CUST0081"/>
    <n v="23"/>
    <x v="1"/>
    <x v="0"/>
    <x v="32"/>
    <s v="Verified"/>
    <x v="0"/>
    <n v="2"/>
    <x v="1"/>
    <n v="63"/>
    <n v="391986"/>
    <n v="5"/>
    <x v="2"/>
    <x v="0"/>
  </r>
  <r>
    <s v="CUST0082"/>
    <n v="43"/>
    <x v="0"/>
    <x v="6"/>
    <x v="36"/>
    <s v="Verified"/>
    <x v="0"/>
    <n v="12"/>
    <x v="1"/>
    <n v="65"/>
    <n v="98670"/>
    <n v="4"/>
    <x v="1"/>
    <x v="1"/>
  </r>
  <r>
    <s v="CUST0083"/>
    <n v="44"/>
    <x v="0"/>
    <x v="0"/>
    <x v="67"/>
    <s v="Verified"/>
    <x v="0"/>
    <n v="7"/>
    <x v="0"/>
    <n v="26"/>
    <n v="152750"/>
    <n v="2"/>
    <x v="1"/>
    <x v="2"/>
  </r>
  <r>
    <s v="CUST0084"/>
    <n v="36"/>
    <x v="1"/>
    <x v="3"/>
    <x v="14"/>
    <s v="Verified"/>
    <x v="1"/>
    <m/>
    <x v="0"/>
    <n v="1"/>
    <n v="4094"/>
    <n v="3"/>
    <x v="3"/>
    <x v="0"/>
  </r>
  <r>
    <s v="CUST0085"/>
    <n v="53"/>
    <x v="0"/>
    <x v="2"/>
    <x v="68"/>
    <s v="Verified"/>
    <x v="0"/>
    <n v="1"/>
    <x v="1"/>
    <n v="15"/>
    <n v="60330"/>
    <n v="4"/>
    <x v="0"/>
    <x v="0"/>
  </r>
  <r>
    <s v="CUST0086"/>
    <n v="36"/>
    <x v="1"/>
    <x v="6"/>
    <x v="57"/>
    <s v="Pending"/>
    <x v="1"/>
    <m/>
    <x v="1"/>
    <n v="3"/>
    <n v="13866"/>
    <n v="2"/>
    <x v="3"/>
    <x v="0"/>
  </r>
  <r>
    <s v="CUST0087"/>
    <n v="22"/>
    <x v="1"/>
    <x v="1"/>
    <x v="61"/>
    <s v="Verified"/>
    <x v="0"/>
    <n v="4"/>
    <x v="0"/>
    <n v="36"/>
    <n v="230076"/>
    <n v="4"/>
    <x v="2"/>
    <x v="2"/>
  </r>
  <r>
    <s v="CUST0088"/>
    <n v="27"/>
    <x v="1"/>
    <x v="6"/>
    <x v="69"/>
    <s v="Verified"/>
    <x v="0"/>
    <n v="6"/>
    <x v="1"/>
    <n v="41"/>
    <n v="188190"/>
    <n v="2"/>
    <x v="2"/>
    <x v="2"/>
  </r>
  <r>
    <s v="CUST0089"/>
    <n v="54"/>
    <x v="1"/>
    <x v="0"/>
    <x v="70"/>
    <s v="Verified"/>
    <x v="0"/>
    <n v="11"/>
    <x v="2"/>
    <n v="48"/>
    <n v="375600"/>
    <n v="2"/>
    <x v="0"/>
    <x v="1"/>
  </r>
  <r>
    <s v="CUST0090"/>
    <n v="49"/>
    <x v="0"/>
    <x v="0"/>
    <x v="48"/>
    <s v="Verified"/>
    <x v="0"/>
    <n v="13"/>
    <x v="1"/>
    <n v="67"/>
    <n v="602062"/>
    <n v="1"/>
    <x v="1"/>
    <x v="1"/>
  </r>
  <r>
    <s v="CUST0091"/>
    <n v="27"/>
    <x v="1"/>
    <x v="3"/>
    <x v="28"/>
    <s v="Verified"/>
    <x v="0"/>
    <n v="4"/>
    <x v="1"/>
    <n v="50"/>
    <n v="140750"/>
    <n v="3"/>
    <x v="2"/>
    <x v="2"/>
  </r>
  <r>
    <s v="CUST0092"/>
    <n v="52"/>
    <x v="1"/>
    <x v="7"/>
    <x v="4"/>
    <s v="Verified"/>
    <x v="0"/>
    <n v="13"/>
    <x v="1"/>
    <n v="79"/>
    <n v="207059"/>
    <n v="2"/>
    <x v="0"/>
    <x v="1"/>
  </r>
  <r>
    <s v="CUST0093"/>
    <n v="58"/>
    <x v="1"/>
    <x v="5"/>
    <x v="68"/>
    <s v="Verified"/>
    <x v="0"/>
    <n v="10"/>
    <x v="0"/>
    <n v="12"/>
    <n v="105228"/>
    <n v="2"/>
    <x v="0"/>
    <x v="1"/>
  </r>
  <r>
    <s v="CUST0094"/>
    <n v="37"/>
    <x v="0"/>
    <x v="0"/>
    <x v="24"/>
    <s v="Verified"/>
    <x v="0"/>
    <n v="2"/>
    <x v="1"/>
    <n v="52"/>
    <n v="560144"/>
    <n v="5"/>
    <x v="3"/>
    <x v="0"/>
  </r>
  <r>
    <s v="CUST0095"/>
    <n v="29"/>
    <x v="0"/>
    <x v="0"/>
    <x v="71"/>
    <s v="Pending"/>
    <x v="1"/>
    <m/>
    <x v="1"/>
    <n v="4"/>
    <n v="15376"/>
    <n v="2"/>
    <x v="2"/>
    <x v="0"/>
  </r>
  <r>
    <s v="CUST0096"/>
    <n v="47"/>
    <x v="1"/>
    <x v="6"/>
    <x v="39"/>
    <s v="Verified"/>
    <x v="0"/>
    <n v="14"/>
    <x v="1"/>
    <n v="69"/>
    <n v="282072"/>
    <n v="1"/>
    <x v="1"/>
    <x v="1"/>
  </r>
  <r>
    <s v="CUST0097"/>
    <n v="46"/>
    <x v="1"/>
    <x v="5"/>
    <x v="12"/>
    <s v="Verified"/>
    <x v="0"/>
    <n v="4"/>
    <x v="1"/>
    <n v="38"/>
    <n v="180994"/>
    <n v="4"/>
    <x v="1"/>
    <x v="2"/>
  </r>
  <r>
    <s v="CUST0098"/>
    <n v="48"/>
    <x v="0"/>
    <x v="0"/>
    <x v="72"/>
    <s v="Verified"/>
    <x v="0"/>
    <n v="11"/>
    <x v="1"/>
    <n v="50"/>
    <n v="299850"/>
    <n v="1"/>
    <x v="1"/>
    <x v="1"/>
  </r>
  <r>
    <s v="CUST0099"/>
    <n v="54"/>
    <x v="0"/>
    <x v="7"/>
    <x v="73"/>
    <s v="Verified"/>
    <x v="1"/>
    <m/>
    <x v="0"/>
    <n v="1"/>
    <n v="11446"/>
    <n v="3"/>
    <x v="0"/>
    <x v="0"/>
  </r>
  <r>
    <s v="CUST0100"/>
    <n v="32"/>
    <x v="0"/>
    <x v="2"/>
    <x v="74"/>
    <s v="Verified"/>
    <x v="0"/>
    <n v="10"/>
    <x v="0"/>
    <n v="80"/>
    <n v="247280"/>
    <n v="1"/>
    <x v="3"/>
    <x v="1"/>
  </r>
  <r>
    <s v="CUST0101"/>
    <n v="37"/>
    <x v="1"/>
    <x v="0"/>
    <x v="75"/>
    <s v="Verified"/>
    <x v="0"/>
    <n v="4"/>
    <x v="1"/>
    <n v="53"/>
    <n v="231981"/>
    <n v="2"/>
    <x v="3"/>
    <x v="2"/>
  </r>
  <r>
    <s v="CUST0102"/>
    <n v="26"/>
    <x v="1"/>
    <x v="6"/>
    <x v="76"/>
    <s v="Verified"/>
    <x v="0"/>
    <n v="13"/>
    <x v="2"/>
    <n v="37"/>
    <n v="260813"/>
    <n v="1"/>
    <x v="2"/>
    <x v="1"/>
  </r>
  <r>
    <s v="CUST0103"/>
    <n v="47"/>
    <x v="0"/>
    <x v="0"/>
    <x v="77"/>
    <s v="Pending"/>
    <x v="1"/>
    <m/>
    <x v="2"/>
    <n v="4"/>
    <n v="29968"/>
    <n v="1"/>
    <x v="1"/>
    <x v="0"/>
  </r>
  <r>
    <s v="CUST0104"/>
    <n v="43"/>
    <x v="0"/>
    <x v="0"/>
    <x v="78"/>
    <s v="Verified"/>
    <x v="0"/>
    <n v="10"/>
    <x v="1"/>
    <n v="48"/>
    <n v="574128"/>
    <n v="3"/>
    <x v="1"/>
    <x v="1"/>
  </r>
  <r>
    <s v="CUST0105"/>
    <n v="24"/>
    <x v="0"/>
    <x v="6"/>
    <x v="62"/>
    <s v="Pending"/>
    <x v="1"/>
    <m/>
    <x v="2"/>
    <n v="1"/>
    <n v="2535"/>
    <n v="4"/>
    <x v="2"/>
    <x v="0"/>
  </r>
  <r>
    <s v="CUST0106"/>
    <n v="37"/>
    <x v="1"/>
    <x v="0"/>
    <x v="79"/>
    <s v="Pending"/>
    <x v="1"/>
    <m/>
    <x v="1"/>
    <n v="0"/>
    <n v="0"/>
    <n v="2"/>
    <x v="3"/>
    <x v="0"/>
  </r>
  <r>
    <s v="CUST0107"/>
    <n v="42"/>
    <x v="1"/>
    <x v="0"/>
    <x v="80"/>
    <s v="Pending"/>
    <x v="1"/>
    <m/>
    <x v="0"/>
    <n v="1"/>
    <n v="8297"/>
    <n v="1"/>
    <x v="1"/>
    <x v="0"/>
  </r>
  <r>
    <s v="CUST0108"/>
    <n v="49"/>
    <x v="1"/>
    <x v="7"/>
    <x v="34"/>
    <s v="Verified"/>
    <x v="0"/>
    <n v="7"/>
    <x v="1"/>
    <n v="30"/>
    <n v="223260"/>
    <n v="1"/>
    <x v="1"/>
    <x v="2"/>
  </r>
  <r>
    <s v="CUST0109"/>
    <n v="41"/>
    <x v="1"/>
    <x v="0"/>
    <x v="0"/>
    <s v="Verified"/>
    <x v="0"/>
    <n v="13"/>
    <x v="0"/>
    <n v="11"/>
    <n v="54725"/>
    <n v="1"/>
    <x v="1"/>
    <x v="1"/>
  </r>
  <r>
    <s v="CUST0110"/>
    <n v="21"/>
    <x v="1"/>
    <x v="0"/>
    <x v="81"/>
    <s v="Verified"/>
    <x v="0"/>
    <n v="13"/>
    <x v="0"/>
    <n v="26"/>
    <n v="288782"/>
    <n v="2"/>
    <x v="2"/>
    <x v="1"/>
  </r>
  <r>
    <s v="CUST0111"/>
    <n v="32"/>
    <x v="1"/>
    <x v="1"/>
    <x v="10"/>
    <s v="Verified"/>
    <x v="0"/>
    <n v="2"/>
    <x v="2"/>
    <n v="69"/>
    <n v="386814"/>
    <n v="3"/>
    <x v="3"/>
    <x v="0"/>
  </r>
  <r>
    <s v="CUST0112"/>
    <n v="25"/>
    <x v="0"/>
    <x v="0"/>
    <x v="3"/>
    <s v="Verified"/>
    <x v="0"/>
    <n v="5"/>
    <x v="1"/>
    <n v="33"/>
    <n v="77814"/>
    <n v="2"/>
    <x v="2"/>
    <x v="2"/>
  </r>
  <r>
    <s v="CUST0113"/>
    <n v="44"/>
    <x v="0"/>
    <x v="4"/>
    <x v="82"/>
    <s v="Verified"/>
    <x v="0"/>
    <n v="9"/>
    <x v="1"/>
    <n v="64"/>
    <n v="328256"/>
    <n v="1"/>
    <x v="1"/>
    <x v="1"/>
  </r>
  <r>
    <s v="CUST0114"/>
    <n v="60"/>
    <x v="1"/>
    <x v="6"/>
    <x v="83"/>
    <s v="Verified"/>
    <x v="0"/>
    <n v="6"/>
    <x v="1"/>
    <n v="13"/>
    <n v="123916"/>
    <n v="4"/>
    <x v="4"/>
    <x v="2"/>
  </r>
  <r>
    <s v="CUST0115"/>
    <n v="22"/>
    <x v="0"/>
    <x v="0"/>
    <x v="42"/>
    <s v="Verified"/>
    <x v="0"/>
    <n v="10"/>
    <x v="1"/>
    <n v="41"/>
    <n v="317340"/>
    <n v="3"/>
    <x v="2"/>
    <x v="1"/>
  </r>
  <r>
    <s v="CUST0116"/>
    <n v="47"/>
    <x v="1"/>
    <x v="0"/>
    <x v="84"/>
    <s v="Verified"/>
    <x v="0"/>
    <n v="14"/>
    <x v="0"/>
    <n v="27"/>
    <n v="230742"/>
    <n v="4"/>
    <x v="1"/>
    <x v="1"/>
  </r>
  <r>
    <s v="CUST0117"/>
    <n v="32"/>
    <x v="1"/>
    <x v="0"/>
    <x v="49"/>
    <s v="Verified"/>
    <x v="0"/>
    <n v="5"/>
    <x v="1"/>
    <n v="32"/>
    <n v="244224"/>
    <n v="2"/>
    <x v="3"/>
    <x v="2"/>
  </r>
  <r>
    <s v="CUST0118"/>
    <n v="48"/>
    <x v="0"/>
    <x v="0"/>
    <x v="85"/>
    <s v="Verified"/>
    <x v="0"/>
    <n v="11"/>
    <x v="1"/>
    <n v="16"/>
    <n v="169840"/>
    <n v="1"/>
    <x v="1"/>
    <x v="1"/>
  </r>
  <r>
    <s v="CUST0119"/>
    <n v="55"/>
    <x v="1"/>
    <x v="4"/>
    <x v="70"/>
    <s v="Verified"/>
    <x v="0"/>
    <n v="12"/>
    <x v="1"/>
    <n v="6"/>
    <n v="37272"/>
    <n v="3"/>
    <x v="0"/>
    <x v="1"/>
  </r>
  <r>
    <s v="CUST0120"/>
    <n v="40"/>
    <x v="0"/>
    <x v="2"/>
    <x v="8"/>
    <s v="Verified"/>
    <x v="0"/>
    <n v="13"/>
    <x v="1"/>
    <n v="71"/>
    <n v="534062"/>
    <n v="1"/>
    <x v="1"/>
    <x v="1"/>
  </r>
  <r>
    <s v="CUST0121"/>
    <n v="35"/>
    <x v="0"/>
    <x v="1"/>
    <x v="31"/>
    <s v="Pending"/>
    <x v="1"/>
    <m/>
    <x v="0"/>
    <n v="5"/>
    <n v="53105"/>
    <n v="7"/>
    <x v="3"/>
    <x v="0"/>
  </r>
  <r>
    <s v="CUST0122"/>
    <n v="56"/>
    <x v="1"/>
    <x v="0"/>
    <x v="76"/>
    <s v="Verified"/>
    <x v="0"/>
    <n v="5"/>
    <x v="1"/>
    <n v="23"/>
    <n v="88481"/>
    <n v="4"/>
    <x v="0"/>
    <x v="2"/>
  </r>
  <r>
    <s v="CUST0123"/>
    <n v="22"/>
    <x v="0"/>
    <x v="4"/>
    <x v="83"/>
    <s v="Verified"/>
    <x v="0"/>
    <n v="6"/>
    <x v="1"/>
    <n v="43"/>
    <n v="175354"/>
    <n v="3"/>
    <x v="2"/>
    <x v="2"/>
  </r>
  <r>
    <s v="CUST0124"/>
    <n v="37"/>
    <x v="1"/>
    <x v="1"/>
    <x v="86"/>
    <s v="Verified"/>
    <x v="1"/>
    <m/>
    <x v="1"/>
    <n v="4"/>
    <n v="9260"/>
    <n v="1"/>
    <x v="3"/>
    <x v="0"/>
  </r>
  <r>
    <s v="CUST0125"/>
    <n v="35"/>
    <x v="1"/>
    <x v="2"/>
    <x v="14"/>
    <s v="Verified"/>
    <x v="0"/>
    <n v="3"/>
    <x v="0"/>
    <n v="14"/>
    <n v="100170"/>
    <n v="4"/>
    <x v="3"/>
    <x v="0"/>
  </r>
  <r>
    <s v="CUST0126"/>
    <n v="25"/>
    <x v="1"/>
    <x v="4"/>
    <x v="48"/>
    <s v="Verified"/>
    <x v="0"/>
    <n v="0"/>
    <x v="1"/>
    <n v="76"/>
    <n v="182172"/>
    <n v="3"/>
    <x v="2"/>
    <x v="0"/>
  </r>
  <r>
    <s v="CUST0127"/>
    <n v="31"/>
    <x v="1"/>
    <x v="7"/>
    <x v="9"/>
    <s v="Verified"/>
    <x v="0"/>
    <n v="1"/>
    <x v="1"/>
    <n v="55"/>
    <n v="240790"/>
    <n v="3"/>
    <x v="3"/>
    <x v="0"/>
  </r>
  <r>
    <s v="CUST0128"/>
    <n v="42"/>
    <x v="0"/>
    <x v="6"/>
    <x v="87"/>
    <s v="Verified"/>
    <x v="0"/>
    <n v="13"/>
    <x v="0"/>
    <n v="55"/>
    <n v="99385"/>
    <n v="4"/>
    <x v="1"/>
    <x v="1"/>
  </r>
  <r>
    <s v="CUST0129"/>
    <n v="22"/>
    <x v="1"/>
    <x v="2"/>
    <x v="72"/>
    <s v="Verified"/>
    <x v="0"/>
    <n v="4"/>
    <x v="1"/>
    <n v="2"/>
    <n v="13642"/>
    <n v="2"/>
    <x v="2"/>
    <x v="2"/>
  </r>
  <r>
    <s v="CUST0130"/>
    <n v="57"/>
    <x v="1"/>
    <x v="1"/>
    <x v="67"/>
    <s v="Verified"/>
    <x v="0"/>
    <n v="3"/>
    <x v="1"/>
    <n v="51"/>
    <n v="514284"/>
    <n v="3"/>
    <x v="0"/>
    <x v="0"/>
  </r>
  <r>
    <s v="CUST0131"/>
    <n v="43"/>
    <x v="1"/>
    <x v="4"/>
    <x v="56"/>
    <s v="Verified"/>
    <x v="0"/>
    <n v="8"/>
    <x v="0"/>
    <n v="67"/>
    <n v="660285"/>
    <n v="2"/>
    <x v="1"/>
    <x v="1"/>
  </r>
  <r>
    <s v="CUST0132"/>
    <n v="40"/>
    <x v="1"/>
    <x v="4"/>
    <x v="64"/>
    <s v="Verified"/>
    <x v="0"/>
    <n v="2"/>
    <x v="1"/>
    <n v="22"/>
    <n v="250118"/>
    <n v="3"/>
    <x v="1"/>
    <x v="0"/>
  </r>
  <r>
    <s v="CUST0133"/>
    <n v="59"/>
    <x v="0"/>
    <x v="0"/>
    <x v="4"/>
    <s v="Verified"/>
    <x v="0"/>
    <n v="12"/>
    <x v="1"/>
    <n v="72"/>
    <n v="857376"/>
    <n v="3"/>
    <x v="0"/>
    <x v="1"/>
  </r>
  <r>
    <s v="CUST0134"/>
    <n v="58"/>
    <x v="1"/>
    <x v="0"/>
    <x v="53"/>
    <s v="Verified"/>
    <x v="0"/>
    <n v="12"/>
    <x v="1"/>
    <n v="7"/>
    <n v="50862"/>
    <n v="1"/>
    <x v="0"/>
    <x v="1"/>
  </r>
  <r>
    <s v="CUST0135"/>
    <n v="37"/>
    <x v="1"/>
    <x v="6"/>
    <x v="24"/>
    <s v="Verified"/>
    <x v="0"/>
    <n v="10"/>
    <x v="0"/>
    <n v="11"/>
    <n v="127336"/>
    <n v="4"/>
    <x v="3"/>
    <x v="1"/>
  </r>
  <r>
    <s v="CUST0136"/>
    <n v="47"/>
    <x v="0"/>
    <x v="6"/>
    <x v="72"/>
    <s v="Verified"/>
    <x v="0"/>
    <n v="7"/>
    <x v="1"/>
    <n v="7"/>
    <n v="62167"/>
    <n v="1"/>
    <x v="1"/>
    <x v="2"/>
  </r>
  <r>
    <s v="CUST0137"/>
    <n v="39"/>
    <x v="0"/>
    <x v="6"/>
    <x v="63"/>
    <s v="Verified"/>
    <x v="0"/>
    <n v="7"/>
    <x v="1"/>
    <n v="78"/>
    <n v="319800"/>
    <n v="3"/>
    <x v="3"/>
    <x v="2"/>
  </r>
  <r>
    <s v="CUST0138"/>
    <n v="41"/>
    <x v="1"/>
    <x v="0"/>
    <x v="88"/>
    <s v="Verified"/>
    <x v="0"/>
    <n v="10"/>
    <x v="0"/>
    <n v="8"/>
    <n v="55208"/>
    <n v="1"/>
    <x v="1"/>
    <x v="1"/>
  </r>
  <r>
    <s v="CUST0139"/>
    <n v="53"/>
    <x v="1"/>
    <x v="0"/>
    <x v="89"/>
    <s v="Pending"/>
    <x v="1"/>
    <m/>
    <x v="1"/>
    <n v="0"/>
    <n v="0"/>
    <n v="2"/>
    <x v="0"/>
    <x v="0"/>
  </r>
  <r>
    <s v="CUST0140"/>
    <n v="40"/>
    <x v="1"/>
    <x v="5"/>
    <x v="80"/>
    <s v="Verified"/>
    <x v="0"/>
    <n v="11"/>
    <x v="2"/>
    <n v="39"/>
    <n v="415623"/>
    <n v="4"/>
    <x v="1"/>
    <x v="1"/>
  </r>
  <r>
    <s v="CUST0141"/>
    <n v="59"/>
    <x v="1"/>
    <x v="1"/>
    <x v="87"/>
    <s v="Verified"/>
    <x v="1"/>
    <m/>
    <x v="2"/>
    <n v="4"/>
    <n v="12124"/>
    <n v="4"/>
    <x v="0"/>
    <x v="0"/>
  </r>
  <r>
    <s v="CUST0142"/>
    <n v="50"/>
    <x v="1"/>
    <x v="0"/>
    <x v="90"/>
    <s v="Verified"/>
    <x v="0"/>
    <n v="12"/>
    <x v="1"/>
    <n v="28"/>
    <n v="105084"/>
    <n v="2"/>
    <x v="0"/>
    <x v="1"/>
  </r>
  <r>
    <s v="CUST0143"/>
    <n v="22"/>
    <x v="1"/>
    <x v="1"/>
    <x v="5"/>
    <s v="Verified"/>
    <x v="0"/>
    <n v="11"/>
    <x v="0"/>
    <n v="4"/>
    <n v="28068"/>
    <n v="2"/>
    <x v="2"/>
    <x v="1"/>
  </r>
  <r>
    <s v="CUST0144"/>
    <n v="56"/>
    <x v="1"/>
    <x v="0"/>
    <x v="91"/>
    <s v="Verified"/>
    <x v="0"/>
    <n v="12"/>
    <x v="2"/>
    <n v="56"/>
    <n v="124040"/>
    <n v="4"/>
    <x v="0"/>
    <x v="1"/>
  </r>
  <r>
    <s v="CUST0145"/>
    <n v="41"/>
    <x v="0"/>
    <x v="5"/>
    <x v="71"/>
    <s v="Verified"/>
    <x v="0"/>
    <n v="7"/>
    <x v="1"/>
    <n v="30"/>
    <n v="197100"/>
    <n v="4"/>
    <x v="1"/>
    <x v="2"/>
  </r>
  <r>
    <s v="CUST0146"/>
    <n v="30"/>
    <x v="1"/>
    <x v="4"/>
    <x v="72"/>
    <s v="Pending"/>
    <x v="1"/>
    <m/>
    <x v="1"/>
    <n v="3"/>
    <n v="29217"/>
    <n v="4"/>
    <x v="3"/>
    <x v="0"/>
  </r>
  <r>
    <s v="CUST0147"/>
    <n v="28"/>
    <x v="0"/>
    <x v="1"/>
    <x v="9"/>
    <s v="Pending"/>
    <x v="0"/>
    <n v="7"/>
    <x v="0"/>
    <n v="70"/>
    <n v="222600"/>
    <n v="1"/>
    <x v="2"/>
    <x v="2"/>
  </r>
  <r>
    <s v="CUST0148"/>
    <n v="36"/>
    <x v="0"/>
    <x v="4"/>
    <x v="76"/>
    <s v="Verified"/>
    <x v="0"/>
    <n v="13"/>
    <x v="1"/>
    <n v="28"/>
    <n v="248948"/>
    <n v="3"/>
    <x v="3"/>
    <x v="1"/>
  </r>
  <r>
    <s v="CUST0149"/>
    <n v="19"/>
    <x v="1"/>
    <x v="0"/>
    <x v="92"/>
    <s v="Verified"/>
    <x v="0"/>
    <n v="1"/>
    <x v="1"/>
    <n v="3"/>
    <n v="20163"/>
    <n v="3"/>
    <x v="5"/>
    <x v="0"/>
  </r>
  <r>
    <s v="CUST0150"/>
    <n v="59"/>
    <x v="1"/>
    <x v="1"/>
    <x v="9"/>
    <s v="Verified"/>
    <x v="1"/>
    <m/>
    <x v="1"/>
    <n v="1"/>
    <n v="9185"/>
    <n v="4"/>
    <x v="0"/>
    <x v="0"/>
  </r>
  <r>
    <s v="CUST0151"/>
    <n v="57"/>
    <x v="0"/>
    <x v="3"/>
    <x v="93"/>
    <s v="Verified"/>
    <x v="0"/>
    <n v="45"/>
    <x v="2"/>
    <n v="77"/>
    <n v="781319"/>
    <n v="4"/>
    <x v="0"/>
    <x v="3"/>
  </r>
  <r>
    <s v="CUST0152"/>
    <n v="25"/>
    <x v="1"/>
    <x v="0"/>
    <x v="78"/>
    <s v="Verified"/>
    <x v="0"/>
    <n v="12"/>
    <x v="0"/>
    <n v="8"/>
    <n v="26528"/>
    <n v="4"/>
    <x v="2"/>
    <x v="1"/>
  </r>
  <r>
    <s v="CUST0153"/>
    <n v="56"/>
    <x v="0"/>
    <x v="2"/>
    <x v="94"/>
    <s v="Verified"/>
    <x v="0"/>
    <n v="6"/>
    <x v="1"/>
    <n v="45"/>
    <n v="244845"/>
    <n v="4"/>
    <x v="0"/>
    <x v="2"/>
  </r>
  <r>
    <s v="CUST0154"/>
    <n v="29"/>
    <x v="0"/>
    <x v="6"/>
    <x v="67"/>
    <s v="Verified"/>
    <x v="0"/>
    <n v="8"/>
    <x v="0"/>
    <n v="64"/>
    <n v="677056"/>
    <n v="1"/>
    <x v="2"/>
    <x v="1"/>
  </r>
  <r>
    <s v="CUST0155"/>
    <n v="42"/>
    <x v="1"/>
    <x v="0"/>
    <x v="47"/>
    <s v="Pending"/>
    <x v="1"/>
    <m/>
    <x v="1"/>
    <n v="0"/>
    <n v="0"/>
    <n v="2"/>
    <x v="1"/>
    <x v="0"/>
  </r>
  <r>
    <s v="CUST0156"/>
    <n v="60"/>
    <x v="0"/>
    <x v="1"/>
    <x v="32"/>
    <s v="Verified"/>
    <x v="0"/>
    <n v="5"/>
    <x v="0"/>
    <n v="22"/>
    <n v="200464"/>
    <n v="4"/>
    <x v="4"/>
    <x v="2"/>
  </r>
  <r>
    <s v="CUST0157"/>
    <n v="58"/>
    <x v="0"/>
    <x v="1"/>
    <x v="95"/>
    <s v="Verified"/>
    <x v="1"/>
    <m/>
    <x v="1"/>
    <n v="1"/>
    <n v="2217"/>
    <n v="2"/>
    <x v="0"/>
    <x v="0"/>
  </r>
  <r>
    <s v="CUST0158"/>
    <n v="20"/>
    <x v="1"/>
    <x v="7"/>
    <x v="96"/>
    <s v="Verified"/>
    <x v="0"/>
    <n v="7"/>
    <x v="1"/>
    <n v="24"/>
    <n v="148488"/>
    <n v="3"/>
    <x v="2"/>
    <x v="2"/>
  </r>
  <r>
    <s v="CUST0159"/>
    <n v="21"/>
    <x v="1"/>
    <x v="0"/>
    <x v="97"/>
    <s v="Verified"/>
    <x v="0"/>
    <n v="7"/>
    <x v="0"/>
    <n v="49"/>
    <n v="345646"/>
    <n v="2"/>
    <x v="2"/>
    <x v="2"/>
  </r>
  <r>
    <s v="CUST0160"/>
    <n v="49"/>
    <x v="1"/>
    <x v="0"/>
    <x v="16"/>
    <s v="Verified"/>
    <x v="0"/>
    <n v="6"/>
    <x v="1"/>
    <n v="77"/>
    <n v="343112"/>
    <n v="3"/>
    <x v="1"/>
    <x v="2"/>
  </r>
  <r>
    <s v="CUST0161"/>
    <n v="38"/>
    <x v="0"/>
    <x v="0"/>
    <x v="38"/>
    <s v="Verified"/>
    <x v="0"/>
    <n v="11"/>
    <x v="1"/>
    <n v="56"/>
    <n v="406504"/>
    <n v="4"/>
    <x v="3"/>
    <x v="1"/>
  </r>
  <r>
    <s v="CUST0162"/>
    <n v="20"/>
    <x v="1"/>
    <x v="2"/>
    <x v="11"/>
    <s v="Verified"/>
    <x v="1"/>
    <m/>
    <x v="2"/>
    <n v="0"/>
    <n v="0"/>
    <n v="4"/>
    <x v="2"/>
    <x v="0"/>
  </r>
  <r>
    <s v="CUST0163"/>
    <n v="41"/>
    <x v="0"/>
    <x v="7"/>
    <x v="98"/>
    <s v="Verified"/>
    <x v="0"/>
    <n v="7"/>
    <x v="1"/>
    <n v="8"/>
    <n v="42928"/>
    <n v="3"/>
    <x v="1"/>
    <x v="2"/>
  </r>
  <r>
    <s v="CUST0164"/>
    <n v="41"/>
    <x v="1"/>
    <x v="7"/>
    <x v="99"/>
    <s v="Verified"/>
    <x v="0"/>
    <n v="5"/>
    <x v="1"/>
    <n v="9"/>
    <n v="98127"/>
    <n v="2"/>
    <x v="1"/>
    <x v="2"/>
  </r>
  <r>
    <s v="CUST0165"/>
    <n v="51"/>
    <x v="1"/>
    <x v="0"/>
    <x v="100"/>
    <s v="Verified"/>
    <x v="1"/>
    <m/>
    <x v="1"/>
    <n v="1"/>
    <n v="9676"/>
    <n v="4"/>
    <x v="0"/>
    <x v="0"/>
  </r>
  <r>
    <s v="CUST0166"/>
    <n v="53"/>
    <x v="0"/>
    <x v="0"/>
    <x v="101"/>
    <s v="Verified"/>
    <x v="0"/>
    <n v="9"/>
    <x v="1"/>
    <n v="62"/>
    <n v="296298"/>
    <n v="1"/>
    <x v="0"/>
    <x v="1"/>
  </r>
  <r>
    <s v="CUST0167"/>
    <n v="26"/>
    <x v="0"/>
    <x v="6"/>
    <x v="102"/>
    <s v="Pending"/>
    <x v="1"/>
    <m/>
    <x v="2"/>
    <n v="2"/>
    <n v="14384"/>
    <n v="1"/>
    <x v="2"/>
    <x v="0"/>
  </r>
  <r>
    <s v="CUST0168"/>
    <n v="53"/>
    <x v="1"/>
    <x v="3"/>
    <x v="103"/>
    <s v="Verified"/>
    <x v="1"/>
    <m/>
    <x v="0"/>
    <n v="2"/>
    <n v="19670"/>
    <n v="2"/>
    <x v="0"/>
    <x v="0"/>
  </r>
  <r>
    <s v="CUST0169"/>
    <n v="25"/>
    <x v="0"/>
    <x v="1"/>
    <x v="104"/>
    <s v="Verified"/>
    <x v="0"/>
    <n v="8"/>
    <x v="1"/>
    <n v="59"/>
    <n v="621742"/>
    <n v="2"/>
    <x v="2"/>
    <x v="1"/>
  </r>
  <r>
    <s v="CUST0170"/>
    <n v="57"/>
    <x v="0"/>
    <x v="0"/>
    <x v="105"/>
    <s v="Pending"/>
    <x v="1"/>
    <m/>
    <x v="1"/>
    <n v="3"/>
    <n v="32757"/>
    <n v="1"/>
    <x v="0"/>
    <x v="0"/>
  </r>
  <r>
    <s v="CUST0171"/>
    <n v="26"/>
    <x v="1"/>
    <x v="2"/>
    <x v="106"/>
    <s v="Verified"/>
    <x v="0"/>
    <n v="2"/>
    <x v="0"/>
    <n v="70"/>
    <n v="838740"/>
    <n v="5"/>
    <x v="2"/>
    <x v="0"/>
  </r>
  <r>
    <s v="CUST0172"/>
    <n v="29"/>
    <x v="0"/>
    <x v="6"/>
    <x v="24"/>
    <s v="Verified"/>
    <x v="0"/>
    <n v="4"/>
    <x v="1"/>
    <n v="41"/>
    <n v="212954"/>
    <n v="3"/>
    <x v="2"/>
    <x v="2"/>
  </r>
  <r>
    <s v="CUST0173"/>
    <n v="51"/>
    <x v="1"/>
    <x v="1"/>
    <x v="107"/>
    <s v="Verified"/>
    <x v="1"/>
    <m/>
    <x v="1"/>
    <n v="5"/>
    <n v="32305"/>
    <n v="1"/>
    <x v="0"/>
    <x v="0"/>
  </r>
  <r>
    <s v="CUST0174"/>
    <n v="50"/>
    <x v="0"/>
    <x v="2"/>
    <x v="108"/>
    <s v="Verified"/>
    <x v="0"/>
    <n v="11"/>
    <x v="2"/>
    <n v="43"/>
    <n v="461562"/>
    <n v="1"/>
    <x v="0"/>
    <x v="1"/>
  </r>
  <r>
    <s v="CUST0175"/>
    <n v="19"/>
    <x v="0"/>
    <x v="0"/>
    <x v="109"/>
    <s v="Verified"/>
    <x v="0"/>
    <n v="3"/>
    <x v="0"/>
    <n v="53"/>
    <n v="616231"/>
    <n v="5"/>
    <x v="5"/>
    <x v="0"/>
  </r>
  <r>
    <s v="CUST0176"/>
    <n v="19"/>
    <x v="1"/>
    <x v="3"/>
    <x v="110"/>
    <s v="Verified"/>
    <x v="1"/>
    <m/>
    <x v="1"/>
    <n v="5"/>
    <n v="40765"/>
    <n v="3"/>
    <x v="5"/>
    <x v="0"/>
  </r>
  <r>
    <s v="CUST0177"/>
    <n v="47"/>
    <x v="0"/>
    <x v="4"/>
    <x v="103"/>
    <s v="Verified"/>
    <x v="0"/>
    <n v="3"/>
    <x v="1"/>
    <n v="18"/>
    <n v="119178"/>
    <n v="5"/>
    <x v="1"/>
    <x v="0"/>
  </r>
  <r>
    <s v="CUST0178"/>
    <n v="38"/>
    <x v="1"/>
    <x v="5"/>
    <x v="18"/>
    <s v="Verified"/>
    <x v="0"/>
    <n v="1"/>
    <x v="1"/>
    <n v="59"/>
    <n v="206913"/>
    <n v="4"/>
    <x v="3"/>
    <x v="0"/>
  </r>
  <r>
    <s v="CUST0179"/>
    <n v="46"/>
    <x v="0"/>
    <x v="0"/>
    <x v="111"/>
    <s v="Verified"/>
    <x v="0"/>
    <n v="9"/>
    <x v="1"/>
    <n v="20"/>
    <n v="137280"/>
    <n v="3"/>
    <x v="1"/>
    <x v="1"/>
  </r>
  <r>
    <s v="CUST0180"/>
    <n v="30"/>
    <x v="0"/>
    <x v="6"/>
    <x v="96"/>
    <s v="Verified"/>
    <x v="0"/>
    <n v="7"/>
    <x v="1"/>
    <n v="50"/>
    <n v="489050"/>
    <n v="4"/>
    <x v="3"/>
    <x v="2"/>
  </r>
  <r>
    <s v="CUST0181"/>
    <n v="33"/>
    <x v="0"/>
    <x v="2"/>
    <x v="111"/>
    <s v="Verified"/>
    <x v="0"/>
    <n v="14"/>
    <x v="0"/>
    <n v="60"/>
    <n v="370860"/>
    <n v="1"/>
    <x v="3"/>
    <x v="1"/>
  </r>
  <r>
    <s v="CUST0182"/>
    <n v="24"/>
    <x v="1"/>
    <x v="0"/>
    <x v="112"/>
    <s v="Verified"/>
    <x v="0"/>
    <n v="5"/>
    <x v="1"/>
    <n v="6"/>
    <n v="65058"/>
    <n v="2"/>
    <x v="2"/>
    <x v="2"/>
  </r>
  <r>
    <s v="CUST0183"/>
    <n v="41"/>
    <x v="1"/>
    <x v="0"/>
    <x v="113"/>
    <s v="Verified"/>
    <x v="0"/>
    <n v="13"/>
    <x v="2"/>
    <n v="78"/>
    <n v="268788"/>
    <n v="2"/>
    <x v="1"/>
    <x v="1"/>
  </r>
  <r>
    <s v="CUST0184"/>
    <n v="24"/>
    <x v="1"/>
    <x v="0"/>
    <x v="88"/>
    <s v="Verified"/>
    <x v="0"/>
    <n v="2"/>
    <x v="1"/>
    <n v="65"/>
    <n v="524940"/>
    <n v="5"/>
    <x v="2"/>
    <x v="0"/>
  </r>
  <r>
    <s v="CUST0185"/>
    <n v="20"/>
    <x v="0"/>
    <x v="0"/>
    <x v="32"/>
    <s v="Verified"/>
    <x v="0"/>
    <n v="2"/>
    <x v="0"/>
    <n v="65"/>
    <n v="246350"/>
    <n v="4"/>
    <x v="2"/>
    <x v="0"/>
  </r>
  <r>
    <s v="CUST0186"/>
    <n v="57"/>
    <x v="1"/>
    <x v="0"/>
    <x v="114"/>
    <s v="Verified"/>
    <x v="0"/>
    <n v="5"/>
    <x v="1"/>
    <n v="65"/>
    <n v="664365"/>
    <n v="4"/>
    <x v="0"/>
    <x v="2"/>
  </r>
  <r>
    <s v="CUST0187"/>
    <n v="54"/>
    <x v="1"/>
    <x v="6"/>
    <x v="93"/>
    <s v="Verified"/>
    <x v="0"/>
    <n v="6"/>
    <x v="1"/>
    <n v="80"/>
    <n v="154880"/>
    <n v="4"/>
    <x v="0"/>
    <x v="2"/>
  </r>
  <r>
    <s v="CUST0188"/>
    <n v="34"/>
    <x v="0"/>
    <x v="4"/>
    <x v="26"/>
    <s v="Verified"/>
    <x v="0"/>
    <n v="11"/>
    <x v="0"/>
    <n v="48"/>
    <n v="188208"/>
    <n v="2"/>
    <x v="3"/>
    <x v="1"/>
  </r>
  <r>
    <s v="CUST0189"/>
    <n v="20"/>
    <x v="0"/>
    <x v="0"/>
    <x v="115"/>
    <s v="Verified"/>
    <x v="0"/>
    <n v="11"/>
    <x v="1"/>
    <n v="64"/>
    <n v="737152"/>
    <n v="4"/>
    <x v="2"/>
    <x v="1"/>
  </r>
  <r>
    <s v="CUST0190"/>
    <n v="21"/>
    <x v="0"/>
    <x v="6"/>
    <x v="31"/>
    <s v="Verified"/>
    <x v="0"/>
    <n v="8"/>
    <x v="1"/>
    <n v="22"/>
    <n v="198682"/>
    <n v="3"/>
    <x v="2"/>
    <x v="1"/>
  </r>
  <r>
    <s v="CUST0191"/>
    <n v="52"/>
    <x v="1"/>
    <x v="4"/>
    <x v="6"/>
    <s v="Verified"/>
    <x v="0"/>
    <n v="9"/>
    <x v="1"/>
    <n v="31"/>
    <n v="188201"/>
    <n v="3"/>
    <x v="0"/>
    <x v="1"/>
  </r>
  <r>
    <s v="CUST0192"/>
    <n v="32"/>
    <x v="1"/>
    <x v="1"/>
    <x v="116"/>
    <s v="Verified"/>
    <x v="0"/>
    <n v="5"/>
    <x v="1"/>
    <n v="71"/>
    <n v="424580"/>
    <n v="3"/>
    <x v="3"/>
    <x v="2"/>
  </r>
  <r>
    <s v="CUST0193"/>
    <n v="25"/>
    <x v="1"/>
    <x v="3"/>
    <x v="105"/>
    <s v="Verified"/>
    <x v="1"/>
    <m/>
    <x v="0"/>
    <n v="2"/>
    <n v="4378"/>
    <n v="3"/>
    <x v="2"/>
    <x v="0"/>
  </r>
  <r>
    <s v="CUST0194"/>
    <n v="23"/>
    <x v="1"/>
    <x v="7"/>
    <x v="27"/>
    <s v="Verified"/>
    <x v="0"/>
    <n v="3"/>
    <x v="0"/>
    <n v="34"/>
    <n v="364072"/>
    <n v="5"/>
    <x v="2"/>
    <x v="0"/>
  </r>
  <r>
    <s v="CUST0195"/>
    <n v="35"/>
    <x v="0"/>
    <x v="0"/>
    <x v="117"/>
    <s v="Verified"/>
    <x v="0"/>
    <n v="14"/>
    <x v="1"/>
    <n v="29"/>
    <n v="68440"/>
    <n v="1"/>
    <x v="3"/>
    <x v="1"/>
  </r>
  <r>
    <s v="CUST0196"/>
    <n v="44"/>
    <x v="1"/>
    <x v="4"/>
    <x v="5"/>
    <s v="Verified"/>
    <x v="0"/>
    <n v="8"/>
    <x v="2"/>
    <n v="20"/>
    <n v="163320"/>
    <n v="4"/>
    <x v="1"/>
    <x v="1"/>
  </r>
  <r>
    <s v="CUST0197"/>
    <n v="48"/>
    <x v="0"/>
    <x v="4"/>
    <x v="118"/>
    <s v="Verified"/>
    <x v="0"/>
    <n v="14"/>
    <x v="0"/>
    <n v="73"/>
    <n v="387192"/>
    <n v="1"/>
    <x v="1"/>
    <x v="1"/>
  </r>
  <r>
    <s v="CUST0198"/>
    <n v="29"/>
    <x v="1"/>
    <x v="3"/>
    <x v="119"/>
    <s v="Pending"/>
    <x v="0"/>
    <n v="13"/>
    <x v="1"/>
    <n v="63"/>
    <n v="286776"/>
    <n v="3"/>
    <x v="2"/>
    <x v="1"/>
  </r>
  <r>
    <s v="CUST0199"/>
    <n v="20"/>
    <x v="0"/>
    <x v="0"/>
    <x v="120"/>
    <s v="Verified"/>
    <x v="1"/>
    <m/>
    <x v="1"/>
    <n v="5"/>
    <n v="52005"/>
    <n v="4"/>
    <x v="2"/>
    <x v="0"/>
  </r>
  <r>
    <s v="CUST0200"/>
    <n v="26"/>
    <x v="1"/>
    <x v="0"/>
    <x v="13"/>
    <s v="Verified"/>
    <x v="0"/>
    <n v="10"/>
    <x v="1"/>
    <n v="23"/>
    <n v="39790"/>
    <n v="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730D2D-4862-49BD-8E57-04FAF39C8552}"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ge Groups">
  <location ref="B50:C58" firstHeaderRow="1" firstDataRow="1" firstDataCol="1"/>
  <pivotFields count="14">
    <pivotField showAll="0"/>
    <pivotField showAll="0"/>
    <pivotField showAll="0"/>
    <pivotField showAll="0"/>
    <pivotField dataField="1" numFmtId="14" showAll="0"/>
    <pivotField showAll="0"/>
    <pivotField showAll="0"/>
    <pivotField showAll="0"/>
    <pivotField showAll="0"/>
    <pivotField showAll="0"/>
    <pivotField showAll="0"/>
    <pivotField showAll="0"/>
    <pivotField axis="axisRow" showAll="0">
      <items count="8">
        <item x="2"/>
        <item x="3"/>
        <item x="1"/>
        <item x="0"/>
        <item x="4"/>
        <item x="5"/>
        <item x="6"/>
        <item t="default"/>
      </items>
    </pivotField>
    <pivotField showAll="0"/>
  </pivotFields>
  <rowFields count="1">
    <field x="12"/>
  </rowFields>
  <rowItems count="8">
    <i>
      <x/>
    </i>
    <i>
      <x v="1"/>
    </i>
    <i>
      <x v="2"/>
    </i>
    <i>
      <x v="3"/>
    </i>
    <i>
      <x v="4"/>
    </i>
    <i>
      <x v="5"/>
    </i>
    <i>
      <x v="6"/>
    </i>
    <i t="grand">
      <x/>
    </i>
  </rowItems>
  <colItems count="1">
    <i/>
  </colItems>
  <dataFields count="1">
    <dataField name="No. of Registrations" fld="4"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E1080-1C08-46CF-8AAA-B02452FE622A}" name="PivotTable10"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ctivation Satus">
  <location ref="M3:N6" firstHeaderRow="1" firstDataRow="1" firstDataCol="1"/>
  <pivotFields count="14">
    <pivotField dataField="1" showAll="0"/>
    <pivotField showAll="0"/>
    <pivotField showAll="0">
      <items count="3">
        <item x="1"/>
        <item x="0"/>
        <item t="default"/>
      </items>
    </pivotField>
    <pivotField showAll="0">
      <items count="10">
        <item x="6"/>
        <item x="3"/>
        <item x="5"/>
        <item x="1"/>
        <item x="0"/>
        <item x="7"/>
        <item x="2"/>
        <item x="4"/>
        <item m="1" x="8"/>
        <item t="default"/>
      </items>
    </pivotField>
    <pivotField numFmtId="14"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axis="axisRow" showAll="0">
      <items count="4">
        <item x="0"/>
        <item x="1"/>
        <item m="1" x="2"/>
        <item t="default"/>
      </items>
    </pivotField>
    <pivotField showAll="0"/>
    <pivotField showAll="0"/>
    <pivotField showAll="0"/>
    <pivotField showAll="0"/>
    <pivotField showAll="0"/>
    <pivotField showAll="0">
      <items count="8">
        <item x="2"/>
        <item x="3"/>
        <item x="1"/>
        <item x="0"/>
        <item x="4"/>
        <item x="5"/>
        <item x="6"/>
        <item t="default"/>
      </items>
    </pivotField>
    <pivotField showAll="0"/>
  </pivotFields>
  <rowFields count="1">
    <field x="6"/>
  </rowFields>
  <rowItems count="3">
    <i>
      <x/>
    </i>
    <i>
      <x v="1"/>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37C097-4CD1-4097-9D94-A7D9A2EB4F4F}" name="PivotTable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rowHeaderCaption="Activation Status">
  <location ref="H26:I29" firstHeaderRow="1" firstDataRow="1" firstDataCol="1"/>
  <pivotFields count="14">
    <pivotField dataField="1" showAll="0"/>
    <pivotField showAll="0"/>
    <pivotField showAll="0">
      <items count="3">
        <item x="1"/>
        <item x="0"/>
        <item t="default"/>
      </items>
    </pivotField>
    <pivotField showAll="0">
      <items count="10">
        <item x="6"/>
        <item x="3"/>
        <item x="5"/>
        <item x="1"/>
        <item x="0"/>
        <item x="7"/>
        <item x="2"/>
        <item x="4"/>
        <item m="1" x="8"/>
        <item t="default"/>
      </items>
    </pivotField>
    <pivotField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axis="axisRow" showAll="0">
      <items count="4">
        <item x="0"/>
        <item x="1"/>
        <item m="1" x="2"/>
        <item t="default"/>
      </items>
    </pivotField>
    <pivotField showAll="0"/>
    <pivotField showAll="0"/>
    <pivotField showAll="0"/>
    <pivotField showAll="0"/>
    <pivotField showAll="0"/>
    <pivotField showAll="0">
      <items count="8">
        <item x="2"/>
        <item x="3"/>
        <item x="1"/>
        <item x="0"/>
        <item x="4"/>
        <item x="5"/>
        <item x="6"/>
        <item t="default"/>
      </items>
    </pivotField>
    <pivotField showAll="0"/>
  </pivotFields>
  <rowFields count="1">
    <field x="6"/>
  </rowFields>
  <rowItems count="3">
    <i>
      <x/>
    </i>
    <i>
      <x v="1"/>
    </i>
    <i t="grand">
      <x/>
    </i>
  </rowItems>
  <colItems count="1">
    <i/>
  </colItems>
  <dataFields count="1">
    <dataField name="No. of Customers" fld="0" subtotal="count" baseField="6"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C53002-861C-4388-9848-CEF7E1533045}"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tates">
  <location ref="B34:K45" firstHeaderRow="1" firstDataRow="3" firstDataCol="1"/>
  <pivotFields count="14">
    <pivotField dataField="1" showAll="0"/>
    <pivotField showAll="0"/>
    <pivotField showAll="0"/>
    <pivotField axis="axisRow" showAll="0">
      <items count="10">
        <item x="6"/>
        <item x="3"/>
        <item x="5"/>
        <item x="1"/>
        <item x="0"/>
        <item x="7"/>
        <item x="2"/>
        <item x="4"/>
        <item m="1" x="8"/>
        <item t="default"/>
      </items>
    </pivotField>
    <pivotField numFmtId="14" showAll="0"/>
    <pivotField showAll="0"/>
    <pivotField axis="axisCol" showAll="0">
      <items count="4">
        <item x="0"/>
        <item x="1"/>
        <item m="1" x="2"/>
        <item t="default"/>
      </items>
    </pivotField>
    <pivotField dataField="1" showAll="0"/>
    <pivotField showAll="0"/>
    <pivotField showAll="0"/>
    <pivotField showAll="0"/>
    <pivotField dataField="1" showAll="0"/>
    <pivotField showAll="0"/>
    <pivotField showAll="0"/>
  </pivotFields>
  <rowFields count="1">
    <field x="3"/>
  </rowFields>
  <rowItems count="9">
    <i>
      <x/>
    </i>
    <i>
      <x v="1"/>
    </i>
    <i>
      <x v="2"/>
    </i>
    <i>
      <x v="3"/>
    </i>
    <i>
      <x v="4"/>
    </i>
    <i>
      <x v="5"/>
    </i>
    <i>
      <x v="6"/>
    </i>
    <i>
      <x v="7"/>
    </i>
    <i t="grand">
      <x/>
    </i>
  </rowItems>
  <colFields count="2">
    <field x="6"/>
    <field x="-2"/>
  </colFields>
  <colItems count="9">
    <i>
      <x/>
      <x/>
    </i>
    <i r="1" i="1">
      <x v="1"/>
    </i>
    <i r="1" i="2">
      <x v="2"/>
    </i>
    <i>
      <x v="1"/>
      <x/>
    </i>
    <i r="1" i="1">
      <x v="1"/>
    </i>
    <i r="1" i="2">
      <x v="2"/>
    </i>
    <i t="grand">
      <x/>
    </i>
    <i t="grand" i="1">
      <x/>
    </i>
    <i t="grand" i="2">
      <x/>
    </i>
  </colItems>
  <dataFields count="3">
    <dataField name="No. of Customers" fld="0" subtotal="count" baseField="3" baseItem="0"/>
    <dataField name="Average of Days_to_Activate" fld="7" subtotal="average" baseField="3" baseItem="0"/>
    <dataField name="Average of Customer_Satisfaction_Score" fld="11" subtotal="average" baseField="3" baseItem="3"/>
  </dataFields>
  <formats count="2">
    <format dxfId="0">
      <pivotArea outline="0" collapsedLevelsAreSubtotals="1" fieldPosition="0">
        <references count="2">
          <reference field="4294967294" count="1" selected="0">
            <x v="1"/>
          </reference>
          <reference field="6" count="1" selected="0">
            <x v="0"/>
          </reference>
        </references>
      </pivotArea>
    </format>
    <format dxfId="1">
      <pivotArea outline="0" collapsedLevelsAreSubtotals="1" fieldPosition="0">
        <references count="2">
          <reference field="4294967294" count="1" selected="0">
            <x v="2"/>
          </reference>
          <reference field="6"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B79F12-2C26-4781-8A52-435F96E32430}" name="PivotTable8"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0:K21" firstHeaderRow="1" firstDataRow="1" firstDataCol="0"/>
  <pivotFields count="14">
    <pivotField dataField="1" showAll="0"/>
    <pivotField showAll="0"/>
    <pivotField showAll="0">
      <items count="3">
        <item x="1"/>
        <item x="0"/>
        <item t="default"/>
      </items>
    </pivotField>
    <pivotField showAll="0">
      <items count="10">
        <item x="6"/>
        <item x="3"/>
        <item x="5"/>
        <item x="1"/>
        <item x="0"/>
        <item x="7"/>
        <item x="2"/>
        <item x="4"/>
        <item m="1" x="8"/>
        <item t="default"/>
      </items>
    </pivotField>
    <pivotField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showAll="0"/>
    <pivotField showAll="0"/>
    <pivotField showAll="0"/>
    <pivotField showAll="0"/>
    <pivotField showAll="0"/>
    <pivotField showAll="0"/>
    <pivotField showAll="0">
      <items count="8">
        <item x="2"/>
        <item x="3"/>
        <item x="1"/>
        <item x="0"/>
        <item x="4"/>
        <item x="5"/>
        <item x="6"/>
        <item t="default"/>
      </items>
    </pivotField>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5F46A5-F11C-49E5-8FE4-906BB09E1C9A}" name="PivotTable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Activation Speed">
  <location ref="G15:H16" firstHeaderRow="0" firstDataRow="1" firstDataCol="0"/>
  <pivotFields count="14">
    <pivotField dataField="1" showAll="0"/>
    <pivotField showAll="0"/>
    <pivotField showAll="0">
      <items count="3">
        <item x="1"/>
        <item x="0"/>
        <item t="default"/>
      </items>
    </pivotField>
    <pivotField showAll="0">
      <items count="10">
        <item x="6"/>
        <item x="3"/>
        <item x="5"/>
        <item x="1"/>
        <item x="0"/>
        <item x="7"/>
        <item x="2"/>
        <item x="4"/>
        <item m="1" x="8"/>
        <item t="default"/>
      </items>
    </pivotField>
    <pivotField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showAll="0"/>
    <pivotField showAll="0"/>
    <pivotField showAll="0"/>
    <pivotField showAll="0"/>
    <pivotField showAll="0"/>
    <pivotField dataField="1" showAll="0"/>
    <pivotField showAll="0">
      <items count="8">
        <item x="2"/>
        <item x="3"/>
        <item x="1"/>
        <item x="0"/>
        <item x="4"/>
        <item x="5"/>
        <item x="6"/>
        <item t="default"/>
      </items>
    </pivotField>
    <pivotField showAll="0"/>
  </pivotFields>
  <rowItems count="1">
    <i/>
  </rowItems>
  <colFields count="1">
    <field x="-2"/>
  </colFields>
  <colItems count="2">
    <i>
      <x/>
    </i>
    <i i="1">
      <x v="1"/>
    </i>
  </colItems>
  <dataFields count="2">
    <dataField name="Total Customers" fld="0" subtotal="count" baseField="0" baseItem="1" numFmtId="1"/>
    <dataField name="Average Customer_Satisfaction_Score" fld="11" subtotal="average" baseField="13" baseItem="0" numFmtId="2"/>
  </dataFields>
  <formats count="2">
    <format dxfId="5">
      <pivotArea outline="0" collapsedLevelsAreSubtotals="1" fieldPosition="0"/>
    </format>
    <format dxfId="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B0F933-82CD-4451-AA0C-956B5EA31C6F}" name="PivotTable1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M18:N23" firstHeaderRow="1" firstDataRow="1" firstDataCol="1"/>
  <pivotFields count="14">
    <pivotField showAll="0"/>
    <pivotField showAll="0"/>
    <pivotField showAll="0">
      <items count="3">
        <item x="1"/>
        <item x="0"/>
        <item t="default"/>
      </items>
    </pivotField>
    <pivotField showAll="0">
      <items count="10">
        <item x="6"/>
        <item x="3"/>
        <item x="5"/>
        <item x="1"/>
        <item x="0"/>
        <item x="7"/>
        <item x="2"/>
        <item x="4"/>
        <item m="1" x="8"/>
        <item t="default"/>
      </items>
    </pivotField>
    <pivotField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showAll="0"/>
    <pivotField showAll="0"/>
    <pivotField showAll="0"/>
    <pivotField showAll="0"/>
    <pivotField showAll="0"/>
    <pivotField dataField="1" showAll="0"/>
    <pivotField showAll="0">
      <items count="8">
        <item x="2"/>
        <item x="3"/>
        <item x="1"/>
        <item x="0"/>
        <item x="4"/>
        <item x="5"/>
        <item x="6"/>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s>
  <rowFields count="1">
    <field x="13"/>
  </rowFields>
  <rowItems count="5">
    <i>
      <x v="2"/>
    </i>
    <i>
      <x/>
    </i>
    <i>
      <x v="1"/>
    </i>
    <i>
      <x v="3"/>
    </i>
    <i t="grand">
      <x/>
    </i>
  </rowItems>
  <colItems count="1">
    <i/>
  </colItems>
  <dataFields count="1">
    <dataField name="Average of Customer_Satisfaction_Score" fld="11" subtotal="average" baseField="13" baseItem="0" numFmtId="2"/>
  </dataFields>
  <formats count="1">
    <format dxfId="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0FBF12-FFC4-4FB1-836B-8ED05983B412}" name="PivotTable4"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C16:D20" firstHeaderRow="1" firstDataRow="1" firstDataCol="1"/>
  <pivotFields count="14">
    <pivotField showAll="0"/>
    <pivotField showAll="0"/>
    <pivotField showAll="0"/>
    <pivotField showAll="0">
      <items count="10">
        <item x="6"/>
        <item x="3"/>
        <item x="5"/>
        <item x="1"/>
        <item x="0"/>
        <item x="7"/>
        <item x="2"/>
        <item x="4"/>
        <item m="1" x="8"/>
        <item t="default"/>
      </items>
    </pivotField>
    <pivotField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showAll="0"/>
    <pivotField showAll="0"/>
    <pivotField axis="axisRow" showAll="0" sortType="descending">
      <items count="5">
        <item x="0"/>
        <item x="2"/>
        <item x="1"/>
        <item m="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8">
        <item x="2"/>
        <item x="3"/>
        <item x="1"/>
        <item x="0"/>
        <item x="4"/>
        <item x="5"/>
        <item x="6"/>
        <item t="default"/>
      </items>
    </pivotField>
    <pivotField showAll="0"/>
  </pivotFields>
  <rowFields count="1">
    <field x="8"/>
  </rowFields>
  <rowItems count="4">
    <i>
      <x v="2"/>
    </i>
    <i>
      <x/>
    </i>
    <i>
      <x v="1"/>
    </i>
    <i t="grand">
      <x/>
    </i>
  </rowItems>
  <colItems count="1">
    <i/>
  </colItems>
  <dataFields count="1">
    <dataField name="No. of Monthly Transactions" fld="10" baseField="8" baseItem="0"/>
  </dataFields>
  <formats count="1">
    <format dxfId="2">
      <pivotArea collapsedLevelsAreSubtotals="1" fieldPosition="0">
        <references count="1">
          <reference field="8"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860696-3D36-4B7F-AA2F-9D438AA3C5C5}" name="PivotTable11"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M13:M14" firstHeaderRow="1" firstDataRow="1" firstDataCol="0"/>
  <pivotFields count="14">
    <pivotField showAll="0"/>
    <pivotField showAll="0"/>
    <pivotField showAll="0">
      <items count="3">
        <item x="1"/>
        <item x="0"/>
        <item t="default"/>
      </items>
    </pivotField>
    <pivotField showAll="0">
      <items count="10">
        <item x="6"/>
        <item x="3"/>
        <item x="5"/>
        <item x="1"/>
        <item x="0"/>
        <item x="7"/>
        <item x="2"/>
        <item x="4"/>
        <item m="1" x="8"/>
        <item t="default"/>
      </items>
    </pivotField>
    <pivotField numFmtId="14" showAll="0">
      <items count="122">
        <item x="2"/>
        <item x="59"/>
        <item x="93"/>
        <item x="83"/>
        <item x="99"/>
        <item x="30"/>
        <item x="79"/>
        <item x="111"/>
        <item x="50"/>
        <item x="24"/>
        <item x="95"/>
        <item x="53"/>
        <item x="60"/>
        <item x="85"/>
        <item x="68"/>
        <item x="5"/>
        <item x="13"/>
        <item x="35"/>
        <item x="78"/>
        <item x="81"/>
        <item x="18"/>
        <item x="9"/>
        <item x="98"/>
        <item x="42"/>
        <item x="28"/>
        <item x="103"/>
        <item x="41"/>
        <item x="63"/>
        <item x="119"/>
        <item x="91"/>
        <item x="20"/>
        <item x="40"/>
        <item x="8"/>
        <item x="1"/>
        <item x="56"/>
        <item x="77"/>
        <item x="104"/>
        <item x="54"/>
        <item x="44"/>
        <item x="107"/>
        <item x="101"/>
        <item x="112"/>
        <item x="76"/>
        <item x="0"/>
        <item x="34"/>
        <item x="118"/>
        <item x="12"/>
        <item x="58"/>
        <item x="90"/>
        <item x="36"/>
        <item x="66"/>
        <item x="55"/>
        <item x="32"/>
        <item x="88"/>
        <item x="69"/>
        <item x="3"/>
        <item x="67"/>
        <item x="75"/>
        <item x="97"/>
        <item x="43"/>
        <item x="47"/>
        <item x="105"/>
        <item x="22"/>
        <item x="70"/>
        <item x="61"/>
        <item x="29"/>
        <item x="19"/>
        <item x="11"/>
        <item x="115"/>
        <item x="102"/>
        <item x="106"/>
        <item x="49"/>
        <item x="65"/>
        <item x="33"/>
        <item x="82"/>
        <item x="57"/>
        <item x="14"/>
        <item x="73"/>
        <item x="92"/>
        <item x="113"/>
        <item x="96"/>
        <item x="16"/>
        <item x="37"/>
        <item x="21"/>
        <item x="110"/>
        <item x="45"/>
        <item x="23"/>
        <item x="31"/>
        <item x="86"/>
        <item x="72"/>
        <item x="94"/>
        <item x="108"/>
        <item x="26"/>
        <item x="117"/>
        <item x="48"/>
        <item x="10"/>
        <item x="120"/>
        <item x="15"/>
        <item x="71"/>
        <item x="114"/>
        <item x="62"/>
        <item x="51"/>
        <item x="4"/>
        <item x="17"/>
        <item x="7"/>
        <item x="109"/>
        <item x="64"/>
        <item x="100"/>
        <item x="27"/>
        <item x="89"/>
        <item x="38"/>
        <item x="39"/>
        <item x="87"/>
        <item x="25"/>
        <item x="74"/>
        <item x="6"/>
        <item x="52"/>
        <item x="46"/>
        <item x="80"/>
        <item x="84"/>
        <item x="116"/>
        <item t="default"/>
      </items>
    </pivotField>
    <pivotField showAll="0"/>
    <pivotField showAll="0"/>
    <pivotField dataField="1" showAll="0"/>
    <pivotField showAll="0"/>
    <pivotField showAll="0"/>
    <pivotField showAll="0"/>
    <pivotField showAll="0"/>
    <pivotField showAll="0">
      <items count="8">
        <item x="2"/>
        <item x="3"/>
        <item x="1"/>
        <item x="0"/>
        <item x="4"/>
        <item x="5"/>
        <item x="6"/>
        <item t="default"/>
      </items>
    </pivotField>
    <pivotField showAll="0"/>
  </pivotFields>
  <rowItems count="1">
    <i/>
  </rowItems>
  <colItems count="1">
    <i/>
  </colItems>
  <dataFields count="1">
    <dataField name="Average of Days_to_Activate" fld="7" subtotal="average" baseField="0" baseItem="32"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676227-4040-45BE-B257-F3E346FEC26E}"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tates">
  <location ref="A3:B12" firstHeaderRow="1" firstDataRow="1" firstDataCol="1"/>
  <pivotFields count="14">
    <pivotField dataField="1" showAll="0"/>
    <pivotField showAll="0"/>
    <pivotField showAll="0">
      <items count="3">
        <item x="1"/>
        <item x="0"/>
        <item t="default"/>
      </items>
    </pivotField>
    <pivotField axis="axisRow" showAll="0" sortType="descending">
      <items count="10">
        <item x="6"/>
        <item x="3"/>
        <item x="5"/>
        <item x="1"/>
        <item x="0"/>
        <item x="7"/>
        <item x="2"/>
        <item x="4"/>
        <item m="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8">
        <item x="2"/>
        <item x="3"/>
        <item x="1"/>
        <item x="0"/>
        <item x="4"/>
        <item x="5"/>
        <item x="6"/>
        <item t="default"/>
      </items>
    </pivotField>
    <pivotField showAll="0"/>
  </pivotFields>
  <rowFields count="1">
    <field x="3"/>
  </rowFields>
  <rowItems count="9">
    <i>
      <x v="4"/>
    </i>
    <i>
      <x/>
    </i>
    <i>
      <x v="7"/>
    </i>
    <i>
      <x v="3"/>
    </i>
    <i>
      <x v="6"/>
    </i>
    <i>
      <x v="1"/>
    </i>
    <i>
      <x v="5"/>
    </i>
    <i>
      <x v="2"/>
    </i>
    <i t="grand">
      <x/>
    </i>
  </rowItems>
  <colItems count="1">
    <i/>
  </colItems>
  <dataFields count="1">
    <dataField name="No. of Customers" fld="0" subtotal="count"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1CBC32-F98E-48A4-9CF2-1D8AF9ED5911}"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ccount Type">
  <location ref="L27:M31" firstHeaderRow="1" firstDataRow="1" firstDataCol="1"/>
  <pivotFields count="14">
    <pivotField showAll="0"/>
    <pivotField showAll="0"/>
    <pivotField showAll="0">
      <items count="3">
        <item x="1"/>
        <item x="0"/>
        <item t="default"/>
      </items>
    </pivotField>
    <pivotField showAll="0">
      <items count="10">
        <item x="6"/>
        <item x="3"/>
        <item x="5"/>
        <item x="1"/>
        <item x="0"/>
        <item x="7"/>
        <item x="2"/>
        <item x="4"/>
        <item m="1" x="8"/>
        <item t="default"/>
      </items>
    </pivotField>
    <pivotField numFmtId="14" showAll="0"/>
    <pivotField showAll="0"/>
    <pivotField showAll="0"/>
    <pivotField showAll="0"/>
    <pivotField axis="axisRow" showAll="0" sortType="descending">
      <items count="5">
        <item x="0"/>
        <item x="2"/>
        <item x="1"/>
        <item m="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8">
        <item x="2"/>
        <item x="3"/>
        <item x="1"/>
        <item x="0"/>
        <item x="4"/>
        <item x="5"/>
        <item x="6"/>
        <item t="default"/>
      </items>
    </pivotField>
    <pivotField showAll="0"/>
  </pivotFields>
  <rowFields count="1">
    <field x="8"/>
  </rowFields>
  <rowItems count="4">
    <i>
      <x v="2"/>
    </i>
    <i>
      <x/>
    </i>
    <i>
      <x v="1"/>
    </i>
    <i t="grand">
      <x/>
    </i>
  </rowItems>
  <colItems count="1">
    <i/>
  </colItems>
  <dataFields count="1">
    <dataField name="Sum of Monthly Transaction Values" fld="10" baseField="8"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A00AB5A-5084-460A-A886-641E77171925}" sourceName="State">
  <pivotTables>
    <pivotTable tabId="3" name="PivotTable6"/>
    <pivotTable tabId="3" name="PivotTable7"/>
    <pivotTable tabId="3" name="PivotTable8"/>
    <pivotTable tabId="3" name="PivotTable10"/>
    <pivotTable tabId="3" name="PivotTable11"/>
    <pivotTable tabId="3" name="PivotTable12"/>
    <pivotTable tabId="3" name="PivotTable4"/>
    <pivotTable tabId="3" name="PivotTable2"/>
    <pivotTable tabId="3" name="PivotTable14"/>
  </pivotTables>
  <data>
    <tabular pivotCacheId="721729975">
      <items count="9">
        <i x="6" s="1"/>
        <i x="3" s="1"/>
        <i x="5" s="1"/>
        <i x="1" s="1"/>
        <i x="0" s="1"/>
        <i x="7" s="1"/>
        <i x="2" s="1"/>
        <i x="4"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18FB4761-6ABF-469C-B0B0-C6EF9509D2B8}" sourceName="Age Groups">
  <pivotTables>
    <pivotTable tabId="3" name="PivotTable6"/>
    <pivotTable tabId="3" name="PivotTable7"/>
    <pivotTable tabId="3" name="PivotTable10"/>
    <pivotTable tabId="3" name="PivotTable11"/>
    <pivotTable tabId="3" name="PivotTable8"/>
    <pivotTable tabId="3" name="PivotTable12"/>
    <pivotTable tabId="3" name="PivotTable4"/>
    <pivotTable tabId="3" name="PivotTable1"/>
    <pivotTable tabId="3" name="PivotTable2"/>
  </pivotTables>
  <data>
    <tabular pivotCacheId="721729975">
      <items count="7">
        <i x="2" s="1"/>
        <i x="3" s="1"/>
        <i x="1" s="1"/>
        <i x="0"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58143B-8A4F-4EBA-9C44-10248867DF3F}" sourceName="Gender">
  <pivotTables>
    <pivotTable tabId="3" name="PivotTable1"/>
    <pivotTable tabId="3" name="PivotTable10"/>
    <pivotTable tabId="3" name="PivotTable11"/>
    <pivotTable tabId="3" name="PivotTable12"/>
    <pivotTable tabId="3" name="PivotTable6"/>
    <pivotTable tabId="3" name="PivotTable7"/>
    <pivotTable tabId="3" name="PivotTable8"/>
    <pivotTable tabId="3" name="PivotTable2"/>
  </pivotTables>
  <data>
    <tabular pivotCacheId="7217299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C8AAE53-E424-4CF7-8DB8-BA0ED8031180}" cache="Slicer_State" caption="State" style="SlicerStyleLight6" rowHeight="241300"/>
  <slicer name="Age Groups" xr10:uid="{E73F6835-7F04-4E18-84D0-17490498918F}" cache="Slicer_Age_Groups" caption="Age Groups" style="SlicerStyleLight6" rowHeight="241300"/>
  <slicer name="Gender" xr10:uid="{4629AFDF-2BC3-434B-B2B1-64549494D4D6}" cache="Slicer_Gender" caption="Gender"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0AC8FA-A98E-48D9-98A9-E4C310B2CA4A}" name="Table2" displayName="Table2" ref="A1:L80" totalsRowShown="0">
  <autoFilter ref="A1:L80" xr:uid="{D90AC8FA-A98E-48D9-98A9-E4C310B2CA4A}"/>
  <tableColumns count="12">
    <tableColumn id="1" xr3:uid="{595417F7-2F17-4ADC-A2FB-67B7DF2B88AB}" name="Customer_ID"/>
    <tableColumn id="2" xr3:uid="{EEE0310D-83DB-414D-9646-949543B8D087}" name="Age"/>
    <tableColumn id="3" xr3:uid="{834071F5-870C-453B-8CBC-317A09C6BB75}" name="Gender"/>
    <tableColumn id="4" xr3:uid="{164AA43E-5475-450C-A346-02922520F072}" name="State"/>
    <tableColumn id="5" xr3:uid="{912A97D6-293E-47D0-9C59-827D6D2E036C}" name="Date_Registered"/>
    <tableColumn id="6" xr3:uid="{0A0EB85C-C6C9-4B44-A40C-0A2DDD79A5A7}" name="Verification_Status"/>
    <tableColumn id="7" xr3:uid="{32067C95-0779-4BFF-89E4-87B63A1A25CE}" name="Activation_Status"/>
    <tableColumn id="8" xr3:uid="{79D84298-5089-412A-81C0-910F7623DAA1}" name="Days_to_Activate"/>
    <tableColumn id="9" xr3:uid="{55A1EF07-3DD2-41BD-A9A1-6614979453F4}" name="Account_Type"/>
    <tableColumn id="10" xr3:uid="{BE4C6FC4-2351-40D0-86FD-0F7B20AC3EDE}" name="Monthly_Transactions"/>
    <tableColumn id="11" xr3:uid="{F0B5B3B2-9516-4715-96E5-EB284311F7EB}" name="Monthly_Transaction_Value"/>
    <tableColumn id="12" xr3:uid="{5E02A42F-FDFB-49E5-B8CF-F602CB4F1380}" name="Customer_Satisfaction_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E3BE1-FE9B-4324-A3B3-4BCEFFD957AF}" name="Table1" displayName="Table1" ref="A1:N200" totalsRowShown="0">
  <autoFilter ref="A1:N200" xr:uid="{C28E3BE1-FE9B-4324-A3B3-4BCEFFD957AF}"/>
  <tableColumns count="14">
    <tableColumn id="1" xr3:uid="{F9CED1F4-322C-4BF3-A018-8EFC7320E555}" name="Customer_ID"/>
    <tableColumn id="2" xr3:uid="{2A252E90-597B-492B-98E0-AD4BFFA0480F}" name="Age"/>
    <tableColumn id="3" xr3:uid="{DA5BC439-114C-458C-8251-AA6DDA1C3381}" name="Gender"/>
    <tableColumn id="4" xr3:uid="{36636A72-18FD-47CB-BC80-45CFAEC0AF6D}" name="State"/>
    <tableColumn id="5" xr3:uid="{06FC155F-B450-4587-BC1C-F477DDD3BD21}" name="Date_Registered" dataDxfId="11"/>
    <tableColumn id="6" xr3:uid="{25F2D165-AA29-47D2-9108-AC7CB4FBB2E3}" name="Verification_Status"/>
    <tableColumn id="7" xr3:uid="{B00312A9-5E46-45F0-B038-7AD610E755BF}" name="Activation_Status"/>
    <tableColumn id="8" xr3:uid="{B78D4290-7605-4F4F-AF62-06A02B284FCD}" name="Days_to_Activate"/>
    <tableColumn id="9" xr3:uid="{44202E7B-54FE-4880-BA0E-35FBAA0DFFFB}" name="Account_Type"/>
    <tableColumn id="10" xr3:uid="{A8CFDCC1-F8DF-4FFD-99C6-1D02B9165A63}" name="Monthly_Transactions" dataDxfId="10"/>
    <tableColumn id="11" xr3:uid="{69B01828-7685-42E3-9501-EB736827E905}" name="Monthly_Transaction_Value" dataDxfId="9"/>
    <tableColumn id="12" xr3:uid="{E5268885-D754-41D8-9EFD-C00D67203494}" name="Customer_Satisfaction_Score"/>
    <tableColumn id="13" xr3:uid="{896F504F-1B34-4D6C-836D-5EEF0F33ACF8}" name="Age Groups" dataDxfId="8">
      <calculatedColumnFormula array="1">_xlfn.IFS(Table1[[#This Row],[Age]]="", "Missing", Table1[[#This Row],[Age]]&lt;20, "Below 20", Table1[[#This Row],[Age]]&lt;30, "20-29", Table1[[#This Row],[Age]]&lt;40, "30-39", Table1[[#This Row],[Age]]&lt;50, "40-49", Table1[[#This Row],[Age]]&lt;60, "50-59", Table1[[#This Row],[Age]]&gt;=60, "60+")</calculatedColumnFormula>
    </tableColumn>
    <tableColumn id="14" xr3:uid="{E11ED4E7-EA2D-4E28-8183-36C4BB6ECAF2}" name="Activation Speed" dataDxfId="7">
      <calculatedColumnFormula array="1">_xlfn.IFS(Table1[[#This Row],[Days_to_Activate]]&lt;=3, "Fast", Table1[[#This Row],[Days_to_Activate]]&lt;=7, "Moderate", Table1[[#This Row],[Days_to_Activate]]&lt;=14, "Slow", Table1[[#This Row],[Days_to_Activate]]&gt;14, "Outlier")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Registered" xr10:uid="{7C93525D-E10C-4A4C-A27D-68FAD029EECA}" sourceName="Date_Registered">
  <pivotTables>
    <pivotTable tabId="3" name="PivotTable7"/>
    <pivotTable tabId="3" name="PivotTable10"/>
    <pivotTable tabId="3" name="PivotTable11"/>
    <pivotTable tabId="3" name="PivotTable6"/>
    <pivotTable tabId="3" name="PivotTable8"/>
    <pivotTable tabId="3" name="PivotTable12"/>
    <pivotTable tabId="3" name="PivotTable4"/>
  </pivotTables>
  <state minimalRefreshVersion="6" lastRefreshVersion="6" pivotCacheId="72172997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Registered" xr10:uid="{A025D6B8-04B9-4E83-BD03-CF9775F9AF73}" cache="NativeTimeline_Date_Registered" caption="Date_Registered" level="2" selectionLevel="2" scrollPosition="2026-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656B-BDCA-4367-B79D-BA7CB0CF22CD}">
  <dimension ref="A1:L80"/>
  <sheetViews>
    <sheetView workbookViewId="0">
      <selection activeCell="D86" sqref="D86"/>
    </sheetView>
  </sheetViews>
  <sheetFormatPr defaultRowHeight="15" x14ac:dyDescent="0.25"/>
  <cols>
    <col min="1" max="1" width="14.5703125" customWidth="1"/>
    <col min="3" max="3" width="9.85546875" customWidth="1"/>
    <col min="5" max="5" width="17.85546875" customWidth="1"/>
    <col min="6" max="6" width="20" customWidth="1"/>
    <col min="7" max="7" width="18.5703125" customWidth="1"/>
    <col min="8" max="8" width="18.42578125" customWidth="1"/>
    <col min="9" max="9" width="15.5703125" customWidth="1"/>
    <col min="10" max="10" width="22.7109375" customWidth="1"/>
    <col min="11" max="11" width="28" customWidth="1"/>
    <col min="12" max="12" width="28.855468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58</v>
      </c>
      <c r="C2" t="s">
        <v>13</v>
      </c>
      <c r="D2" t="s">
        <v>14</v>
      </c>
      <c r="E2" t="s">
        <v>15</v>
      </c>
      <c r="F2" t="s">
        <v>16</v>
      </c>
      <c r="G2" t="s">
        <v>17</v>
      </c>
      <c r="H2">
        <v>1</v>
      </c>
      <c r="I2" t="s">
        <v>18</v>
      </c>
      <c r="J2">
        <v>69</v>
      </c>
      <c r="K2">
        <v>201756</v>
      </c>
      <c r="L2">
        <v>5</v>
      </c>
    </row>
    <row r="3" spans="1:12" x14ac:dyDescent="0.25">
      <c r="A3" t="s">
        <v>286</v>
      </c>
      <c r="B3">
        <v>20</v>
      </c>
      <c r="C3" t="s">
        <v>13</v>
      </c>
      <c r="D3" t="s">
        <v>14</v>
      </c>
      <c r="E3" t="s">
        <v>287</v>
      </c>
      <c r="F3" t="s">
        <v>16</v>
      </c>
      <c r="G3" t="s">
        <v>37</v>
      </c>
      <c r="I3" t="s">
        <v>20</v>
      </c>
      <c r="J3">
        <v>5</v>
      </c>
      <c r="K3">
        <v>52005</v>
      </c>
      <c r="L3">
        <v>4</v>
      </c>
    </row>
    <row r="4" spans="1:12" x14ac:dyDescent="0.25">
      <c r="A4" t="s">
        <v>281</v>
      </c>
      <c r="B4">
        <v>23</v>
      </c>
      <c r="C4" t="s">
        <v>22</v>
      </c>
      <c r="D4" t="s">
        <v>91</v>
      </c>
      <c r="E4" t="s">
        <v>77</v>
      </c>
      <c r="F4" t="s">
        <v>16</v>
      </c>
      <c r="G4" t="s">
        <v>17</v>
      </c>
      <c r="H4">
        <v>3</v>
      </c>
      <c r="I4" t="s">
        <v>18</v>
      </c>
      <c r="J4">
        <v>34</v>
      </c>
      <c r="K4">
        <v>364072</v>
      </c>
      <c r="L4">
        <v>5</v>
      </c>
    </row>
    <row r="5" spans="1:12" x14ac:dyDescent="0.25">
      <c r="A5" t="s">
        <v>280</v>
      </c>
      <c r="B5">
        <v>25</v>
      </c>
      <c r="C5" t="s">
        <v>22</v>
      </c>
      <c r="D5" t="s">
        <v>28</v>
      </c>
      <c r="E5" t="s">
        <v>253</v>
      </c>
      <c r="F5" t="s">
        <v>16</v>
      </c>
      <c r="G5" t="s">
        <v>37</v>
      </c>
      <c r="I5" t="s">
        <v>18</v>
      </c>
      <c r="J5">
        <v>2</v>
      </c>
      <c r="K5">
        <v>4378</v>
      </c>
      <c r="L5">
        <v>3</v>
      </c>
    </row>
    <row r="6" spans="1:12" x14ac:dyDescent="0.25">
      <c r="A6" t="s">
        <v>272</v>
      </c>
      <c r="B6">
        <v>20</v>
      </c>
      <c r="C6" t="s">
        <v>13</v>
      </c>
      <c r="D6" t="s">
        <v>14</v>
      </c>
      <c r="E6" t="s">
        <v>86</v>
      </c>
      <c r="F6" t="s">
        <v>16</v>
      </c>
      <c r="G6" t="s">
        <v>17</v>
      </c>
      <c r="H6">
        <v>2</v>
      </c>
      <c r="I6" t="s">
        <v>18</v>
      </c>
      <c r="J6">
        <v>65</v>
      </c>
      <c r="K6">
        <v>246350</v>
      </c>
      <c r="L6">
        <v>4</v>
      </c>
    </row>
    <row r="7" spans="1:12" x14ac:dyDescent="0.25">
      <c r="A7" t="s">
        <v>271</v>
      </c>
      <c r="B7">
        <v>24</v>
      </c>
      <c r="C7" t="s">
        <v>22</v>
      </c>
      <c r="D7" t="s">
        <v>14</v>
      </c>
      <c r="E7" t="s">
        <v>214</v>
      </c>
      <c r="F7" t="s">
        <v>16</v>
      </c>
      <c r="G7" t="s">
        <v>17</v>
      </c>
      <c r="H7">
        <v>2</v>
      </c>
      <c r="I7" t="s">
        <v>20</v>
      </c>
      <c r="J7">
        <v>65</v>
      </c>
      <c r="K7">
        <v>524940</v>
      </c>
      <c r="L7">
        <v>5</v>
      </c>
    </row>
    <row r="8" spans="1:12" x14ac:dyDescent="0.25">
      <c r="A8" t="s">
        <v>29</v>
      </c>
      <c r="B8">
        <v>60</v>
      </c>
      <c r="C8" t="s">
        <v>22</v>
      </c>
      <c r="D8" t="s">
        <v>30</v>
      </c>
      <c r="E8" t="s">
        <v>31</v>
      </c>
      <c r="F8" t="s">
        <v>16</v>
      </c>
      <c r="G8" t="s">
        <v>17</v>
      </c>
      <c r="H8">
        <v>2</v>
      </c>
      <c r="I8" t="s">
        <v>20</v>
      </c>
      <c r="J8">
        <v>31</v>
      </c>
      <c r="K8">
        <v>129487</v>
      </c>
      <c r="L8">
        <v>4</v>
      </c>
    </row>
    <row r="9" spans="1:12" x14ac:dyDescent="0.25">
      <c r="A9" t="s">
        <v>265</v>
      </c>
      <c r="B9">
        <v>38</v>
      </c>
      <c r="C9" t="s">
        <v>22</v>
      </c>
      <c r="D9" t="s">
        <v>33</v>
      </c>
      <c r="E9" t="s">
        <v>59</v>
      </c>
      <c r="F9" t="s">
        <v>16</v>
      </c>
      <c r="G9" t="s">
        <v>17</v>
      </c>
      <c r="H9">
        <v>1</v>
      </c>
      <c r="I9" t="s">
        <v>20</v>
      </c>
      <c r="J9">
        <v>59</v>
      </c>
      <c r="K9">
        <v>206913</v>
      </c>
      <c r="L9">
        <v>4</v>
      </c>
    </row>
    <row r="10" spans="1:12" x14ac:dyDescent="0.25">
      <c r="A10" t="s">
        <v>34</v>
      </c>
      <c r="B10">
        <v>38</v>
      </c>
      <c r="C10" t="s">
        <v>22</v>
      </c>
      <c r="D10" t="s">
        <v>14</v>
      </c>
      <c r="E10" t="s">
        <v>35</v>
      </c>
      <c r="F10" t="s">
        <v>36</v>
      </c>
      <c r="G10" t="s">
        <v>37</v>
      </c>
      <c r="I10" t="s">
        <v>18</v>
      </c>
      <c r="J10">
        <v>1</v>
      </c>
      <c r="K10">
        <v>9679</v>
      </c>
      <c r="L10">
        <v>4</v>
      </c>
    </row>
    <row r="11" spans="1:12" x14ac:dyDescent="0.25">
      <c r="A11" t="s">
        <v>264</v>
      </c>
      <c r="B11">
        <v>47</v>
      </c>
      <c r="C11" t="s">
        <v>13</v>
      </c>
      <c r="D11" t="s">
        <v>30</v>
      </c>
      <c r="E11" t="s">
        <v>250</v>
      </c>
      <c r="F11" t="s">
        <v>16</v>
      </c>
      <c r="G11" t="s">
        <v>17</v>
      </c>
      <c r="H11">
        <v>3</v>
      </c>
      <c r="I11" t="s">
        <v>20</v>
      </c>
      <c r="J11">
        <v>18</v>
      </c>
      <c r="K11">
        <v>119178</v>
      </c>
      <c r="L11">
        <v>5</v>
      </c>
    </row>
    <row r="12" spans="1:12" x14ac:dyDescent="0.25">
      <c r="A12" t="s">
        <v>40</v>
      </c>
      <c r="B12">
        <v>41</v>
      </c>
      <c r="C12" t="s">
        <v>13</v>
      </c>
      <c r="D12" t="s">
        <v>33</v>
      </c>
      <c r="E12" t="s">
        <v>39</v>
      </c>
      <c r="F12" t="s">
        <v>16</v>
      </c>
      <c r="G12" t="s">
        <v>17</v>
      </c>
      <c r="H12">
        <v>0</v>
      </c>
      <c r="I12" t="s">
        <v>18</v>
      </c>
      <c r="J12">
        <v>19</v>
      </c>
      <c r="K12">
        <v>223820</v>
      </c>
      <c r="L12">
        <v>3</v>
      </c>
    </row>
    <row r="13" spans="1:12" x14ac:dyDescent="0.25">
      <c r="A13" t="s">
        <v>41</v>
      </c>
      <c r="B13">
        <v>45</v>
      </c>
      <c r="C13" t="s">
        <v>13</v>
      </c>
      <c r="D13" t="s">
        <v>14</v>
      </c>
      <c r="E13" t="s">
        <v>42</v>
      </c>
      <c r="F13" t="s">
        <v>36</v>
      </c>
      <c r="G13" t="s">
        <v>37</v>
      </c>
      <c r="I13" t="s">
        <v>43</v>
      </c>
      <c r="J13">
        <v>0</v>
      </c>
      <c r="K13">
        <v>0</v>
      </c>
      <c r="L13">
        <v>3</v>
      </c>
    </row>
    <row r="14" spans="1:12" x14ac:dyDescent="0.25">
      <c r="A14" t="s">
        <v>262</v>
      </c>
      <c r="B14">
        <v>19</v>
      </c>
      <c r="C14" t="s">
        <v>22</v>
      </c>
      <c r="D14" t="s">
        <v>28</v>
      </c>
      <c r="E14" t="s">
        <v>263</v>
      </c>
      <c r="F14" t="s">
        <v>16</v>
      </c>
      <c r="G14" t="s">
        <v>37</v>
      </c>
      <c r="I14" t="s">
        <v>20</v>
      </c>
      <c r="J14">
        <v>5</v>
      </c>
      <c r="K14">
        <v>40765</v>
      </c>
      <c r="L14">
        <v>3</v>
      </c>
    </row>
    <row r="15" spans="1:12" x14ac:dyDescent="0.25">
      <c r="A15" t="s">
        <v>46</v>
      </c>
      <c r="B15">
        <v>50</v>
      </c>
      <c r="C15" t="s">
        <v>13</v>
      </c>
      <c r="D15" t="s">
        <v>28</v>
      </c>
      <c r="E15" t="s">
        <v>47</v>
      </c>
      <c r="F15" t="s">
        <v>16</v>
      </c>
      <c r="G15" t="s">
        <v>17</v>
      </c>
      <c r="H15">
        <v>3</v>
      </c>
      <c r="I15" t="s">
        <v>20</v>
      </c>
      <c r="J15">
        <v>20</v>
      </c>
      <c r="K15">
        <v>206740</v>
      </c>
      <c r="L15">
        <v>5</v>
      </c>
    </row>
    <row r="16" spans="1:12" x14ac:dyDescent="0.25">
      <c r="A16" t="s">
        <v>48</v>
      </c>
      <c r="B16">
        <v>18</v>
      </c>
      <c r="C16" t="s">
        <v>22</v>
      </c>
      <c r="D16" t="s">
        <v>49</v>
      </c>
      <c r="E16" t="s">
        <v>50</v>
      </c>
      <c r="F16" t="s">
        <v>36</v>
      </c>
      <c r="G16" t="s">
        <v>37</v>
      </c>
      <c r="I16" t="s">
        <v>18</v>
      </c>
      <c r="J16">
        <v>2</v>
      </c>
      <c r="K16">
        <v>10846</v>
      </c>
      <c r="L16">
        <v>1</v>
      </c>
    </row>
    <row r="17" spans="1:12" x14ac:dyDescent="0.25">
      <c r="A17" t="s">
        <v>51</v>
      </c>
      <c r="B17">
        <v>33</v>
      </c>
      <c r="C17" t="s">
        <v>13</v>
      </c>
      <c r="D17" t="s">
        <v>14</v>
      </c>
      <c r="E17" t="s">
        <v>52</v>
      </c>
      <c r="F17" t="s">
        <v>16</v>
      </c>
      <c r="G17" t="s">
        <v>37</v>
      </c>
      <c r="I17" t="s">
        <v>20</v>
      </c>
      <c r="J17">
        <v>1</v>
      </c>
      <c r="K17">
        <v>3603</v>
      </c>
      <c r="L17">
        <v>4</v>
      </c>
    </row>
    <row r="18" spans="1:12" x14ac:dyDescent="0.25">
      <c r="A18" t="s">
        <v>260</v>
      </c>
      <c r="B18">
        <v>19</v>
      </c>
      <c r="C18" t="s">
        <v>13</v>
      </c>
      <c r="D18" t="s">
        <v>14</v>
      </c>
      <c r="E18" t="s">
        <v>261</v>
      </c>
      <c r="F18" t="s">
        <v>16</v>
      </c>
      <c r="G18" t="s">
        <v>17</v>
      </c>
      <c r="H18">
        <v>3</v>
      </c>
      <c r="I18" t="s">
        <v>18</v>
      </c>
      <c r="J18">
        <v>53</v>
      </c>
      <c r="K18">
        <v>616231</v>
      </c>
      <c r="L18">
        <v>5</v>
      </c>
    </row>
    <row r="19" spans="1:12" x14ac:dyDescent="0.25">
      <c r="A19" t="s">
        <v>54</v>
      </c>
      <c r="B19">
        <v>60</v>
      </c>
      <c r="C19" t="s">
        <v>22</v>
      </c>
      <c r="D19" t="s">
        <v>49</v>
      </c>
      <c r="E19" t="s">
        <v>55</v>
      </c>
      <c r="F19" t="s">
        <v>16</v>
      </c>
      <c r="G19" t="s">
        <v>17</v>
      </c>
      <c r="H19">
        <v>1</v>
      </c>
      <c r="I19" t="s">
        <v>20</v>
      </c>
      <c r="J19">
        <v>75</v>
      </c>
      <c r="K19">
        <v>793125</v>
      </c>
      <c r="L19">
        <v>3</v>
      </c>
    </row>
    <row r="20" spans="1:12" x14ac:dyDescent="0.25">
      <c r="A20" t="s">
        <v>56</v>
      </c>
      <c r="B20">
        <v>55</v>
      </c>
      <c r="C20" t="s">
        <v>13</v>
      </c>
      <c r="D20" t="s">
        <v>14</v>
      </c>
      <c r="E20" t="s">
        <v>57</v>
      </c>
      <c r="F20" t="s">
        <v>16</v>
      </c>
      <c r="G20" t="s">
        <v>17</v>
      </c>
      <c r="H20">
        <v>0</v>
      </c>
      <c r="I20" t="s">
        <v>18</v>
      </c>
      <c r="J20">
        <v>9</v>
      </c>
      <c r="K20">
        <v>89307</v>
      </c>
      <c r="L20">
        <v>3</v>
      </c>
    </row>
    <row r="21" spans="1:12" x14ac:dyDescent="0.25">
      <c r="A21" t="s">
        <v>58</v>
      </c>
      <c r="B21">
        <v>35</v>
      </c>
      <c r="C21" t="s">
        <v>22</v>
      </c>
      <c r="D21" t="s">
        <v>14</v>
      </c>
      <c r="E21" t="s">
        <v>59</v>
      </c>
      <c r="F21" t="s">
        <v>16</v>
      </c>
      <c r="G21" t="s">
        <v>37</v>
      </c>
      <c r="I21" t="s">
        <v>20</v>
      </c>
      <c r="J21">
        <v>1</v>
      </c>
      <c r="K21">
        <v>9249</v>
      </c>
      <c r="L21">
        <v>4</v>
      </c>
    </row>
    <row r="22" spans="1:12" x14ac:dyDescent="0.25">
      <c r="A22" t="s">
        <v>257</v>
      </c>
      <c r="B22">
        <v>51</v>
      </c>
      <c r="C22" t="s">
        <v>22</v>
      </c>
      <c r="D22" t="s">
        <v>23</v>
      </c>
      <c r="E22" t="s">
        <v>258</v>
      </c>
      <c r="F22" t="s">
        <v>16</v>
      </c>
      <c r="G22" t="s">
        <v>37</v>
      </c>
      <c r="I22" t="s">
        <v>20</v>
      </c>
      <c r="J22">
        <v>5</v>
      </c>
      <c r="K22">
        <v>32305</v>
      </c>
      <c r="L22">
        <v>1</v>
      </c>
    </row>
    <row r="23" spans="1:12" x14ac:dyDescent="0.25">
      <c r="A23" t="s">
        <v>61</v>
      </c>
      <c r="B23">
        <v>39</v>
      </c>
      <c r="C23" t="s">
        <v>13</v>
      </c>
      <c r="D23" t="s">
        <v>14</v>
      </c>
      <c r="E23" t="s">
        <v>62</v>
      </c>
      <c r="F23" t="s">
        <v>16</v>
      </c>
      <c r="G23" t="s">
        <v>17</v>
      </c>
      <c r="H23">
        <v>2</v>
      </c>
      <c r="I23" t="s">
        <v>20</v>
      </c>
      <c r="J23">
        <v>31</v>
      </c>
      <c r="K23">
        <v>84785</v>
      </c>
      <c r="L23">
        <v>4</v>
      </c>
    </row>
    <row r="24" spans="1:12" x14ac:dyDescent="0.25">
      <c r="A24" t="s">
        <v>63</v>
      </c>
      <c r="B24">
        <v>53</v>
      </c>
      <c r="C24" t="s">
        <v>13</v>
      </c>
      <c r="D24" t="s">
        <v>14</v>
      </c>
      <c r="E24" t="s">
        <v>64</v>
      </c>
      <c r="F24" t="s">
        <v>16</v>
      </c>
      <c r="G24" t="s">
        <v>37</v>
      </c>
      <c r="I24" t="s">
        <v>43</v>
      </c>
      <c r="J24">
        <v>1</v>
      </c>
      <c r="K24">
        <v>4224</v>
      </c>
      <c r="L24">
        <v>4</v>
      </c>
    </row>
    <row r="25" spans="1:12" x14ac:dyDescent="0.25">
      <c r="A25" t="s">
        <v>65</v>
      </c>
      <c r="B25">
        <v>49</v>
      </c>
      <c r="C25" t="s">
        <v>22</v>
      </c>
      <c r="D25" t="s">
        <v>14</v>
      </c>
      <c r="E25" t="s">
        <v>66</v>
      </c>
      <c r="F25" t="s">
        <v>36</v>
      </c>
      <c r="G25" t="s">
        <v>37</v>
      </c>
      <c r="I25" t="s">
        <v>20</v>
      </c>
      <c r="J25">
        <v>3</v>
      </c>
      <c r="K25">
        <v>17535</v>
      </c>
      <c r="L25">
        <v>4</v>
      </c>
    </row>
    <row r="26" spans="1:12" x14ac:dyDescent="0.25">
      <c r="A26" t="s">
        <v>67</v>
      </c>
      <c r="C26" t="s">
        <v>22</v>
      </c>
      <c r="D26" t="s">
        <v>30</v>
      </c>
      <c r="E26" t="s">
        <v>68</v>
      </c>
      <c r="F26" t="s">
        <v>16</v>
      </c>
      <c r="G26" t="s">
        <v>17</v>
      </c>
      <c r="H26">
        <v>3</v>
      </c>
      <c r="I26" t="s">
        <v>20</v>
      </c>
      <c r="J26">
        <v>7</v>
      </c>
      <c r="K26">
        <v>76923</v>
      </c>
      <c r="L26">
        <v>5</v>
      </c>
    </row>
    <row r="27" spans="1:12" x14ac:dyDescent="0.25">
      <c r="A27" t="s">
        <v>254</v>
      </c>
      <c r="B27">
        <v>26</v>
      </c>
      <c r="C27" t="s">
        <v>22</v>
      </c>
      <c r="D27" t="s">
        <v>26</v>
      </c>
      <c r="E27" t="s">
        <v>255</v>
      </c>
      <c r="F27" t="s">
        <v>16</v>
      </c>
      <c r="G27" t="s">
        <v>17</v>
      </c>
      <c r="H27">
        <v>2</v>
      </c>
      <c r="I27" t="s">
        <v>18</v>
      </c>
      <c r="J27">
        <v>70</v>
      </c>
      <c r="K27">
        <v>838740</v>
      </c>
      <c r="L27">
        <v>5</v>
      </c>
    </row>
    <row r="28" spans="1:12" x14ac:dyDescent="0.25">
      <c r="A28" t="s">
        <v>71</v>
      </c>
      <c r="B28">
        <v>29</v>
      </c>
      <c r="C28" t="s">
        <v>13</v>
      </c>
      <c r="D28" t="s">
        <v>26</v>
      </c>
      <c r="E28" t="s">
        <v>72</v>
      </c>
      <c r="F28" t="s">
        <v>36</v>
      </c>
      <c r="G28" t="s">
        <v>37</v>
      </c>
      <c r="I28" t="s">
        <v>43</v>
      </c>
      <c r="J28">
        <v>4</v>
      </c>
      <c r="K28">
        <v>22132</v>
      </c>
      <c r="L28">
        <v>1</v>
      </c>
    </row>
    <row r="29" spans="1:12" x14ac:dyDescent="0.25">
      <c r="A29" t="s">
        <v>252</v>
      </c>
      <c r="B29">
        <v>57</v>
      </c>
      <c r="C29" t="s">
        <v>13</v>
      </c>
      <c r="D29" t="s">
        <v>14</v>
      </c>
      <c r="E29" t="s">
        <v>253</v>
      </c>
      <c r="F29" t="s">
        <v>36</v>
      </c>
      <c r="G29" t="s">
        <v>37</v>
      </c>
      <c r="I29" t="s">
        <v>20</v>
      </c>
      <c r="J29">
        <v>3</v>
      </c>
      <c r="K29">
        <v>32757</v>
      </c>
      <c r="L29">
        <v>1</v>
      </c>
    </row>
    <row r="30" spans="1:12" x14ac:dyDescent="0.25">
      <c r="A30" t="s">
        <v>74</v>
      </c>
      <c r="B30">
        <v>43</v>
      </c>
      <c r="C30" t="s">
        <v>13</v>
      </c>
      <c r="D30" t="s">
        <v>30</v>
      </c>
      <c r="E30" t="s">
        <v>47</v>
      </c>
      <c r="F30" t="s">
        <v>16</v>
      </c>
      <c r="G30" t="s">
        <v>37</v>
      </c>
      <c r="I30" t="s">
        <v>43</v>
      </c>
      <c r="J30">
        <v>0</v>
      </c>
      <c r="K30">
        <v>0</v>
      </c>
      <c r="L30">
        <v>1</v>
      </c>
    </row>
    <row r="31" spans="1:12" x14ac:dyDescent="0.25">
      <c r="A31" t="s">
        <v>75</v>
      </c>
      <c r="B31">
        <v>22</v>
      </c>
      <c r="C31" t="s">
        <v>13</v>
      </c>
      <c r="D31" t="s">
        <v>49</v>
      </c>
      <c r="E31" t="s">
        <v>59</v>
      </c>
      <c r="F31" t="s">
        <v>36</v>
      </c>
      <c r="G31" t="s">
        <v>37</v>
      </c>
      <c r="I31" t="s">
        <v>18</v>
      </c>
      <c r="J31">
        <v>2</v>
      </c>
      <c r="K31">
        <v>12338</v>
      </c>
      <c r="L31">
        <v>2</v>
      </c>
    </row>
    <row r="32" spans="1:12" x14ac:dyDescent="0.25">
      <c r="A32" t="s">
        <v>249</v>
      </c>
      <c r="B32">
        <v>53</v>
      </c>
      <c r="C32" t="s">
        <v>22</v>
      </c>
      <c r="D32" t="s">
        <v>28</v>
      </c>
      <c r="E32" t="s">
        <v>250</v>
      </c>
      <c r="F32" t="s">
        <v>16</v>
      </c>
      <c r="G32" t="s">
        <v>37</v>
      </c>
      <c r="I32" t="s">
        <v>18</v>
      </c>
      <c r="J32">
        <v>2</v>
      </c>
      <c r="K32">
        <v>19670</v>
      </c>
      <c r="L32">
        <v>2</v>
      </c>
    </row>
    <row r="33" spans="1:12" x14ac:dyDescent="0.25">
      <c r="A33" t="s">
        <v>247</v>
      </c>
      <c r="B33">
        <v>26</v>
      </c>
      <c r="C33" t="s">
        <v>13</v>
      </c>
      <c r="D33" t="s">
        <v>49</v>
      </c>
      <c r="E33" t="s">
        <v>248</v>
      </c>
      <c r="F33" t="s">
        <v>36</v>
      </c>
      <c r="G33" t="s">
        <v>37</v>
      </c>
      <c r="I33" t="s">
        <v>43</v>
      </c>
      <c r="J33">
        <v>2</v>
      </c>
      <c r="K33">
        <v>14384</v>
      </c>
      <c r="L33">
        <v>1</v>
      </c>
    </row>
    <row r="34" spans="1:12" x14ac:dyDescent="0.25">
      <c r="A34" t="s">
        <v>244</v>
      </c>
      <c r="B34">
        <v>51</v>
      </c>
      <c r="C34" t="s">
        <v>22</v>
      </c>
      <c r="D34" t="s">
        <v>14</v>
      </c>
      <c r="E34" t="s">
        <v>245</v>
      </c>
      <c r="F34" t="s">
        <v>16</v>
      </c>
      <c r="G34" t="s">
        <v>37</v>
      </c>
      <c r="I34" t="s">
        <v>20</v>
      </c>
      <c r="J34">
        <v>1</v>
      </c>
      <c r="K34">
        <v>9676</v>
      </c>
      <c r="L34">
        <v>4</v>
      </c>
    </row>
    <row r="35" spans="1:12" x14ac:dyDescent="0.25">
      <c r="A35" t="s">
        <v>80</v>
      </c>
      <c r="B35">
        <v>53</v>
      </c>
      <c r="C35" t="s">
        <v>22</v>
      </c>
      <c r="D35" t="s">
        <v>26</v>
      </c>
      <c r="E35" t="s">
        <v>50</v>
      </c>
      <c r="F35" t="s">
        <v>16</v>
      </c>
      <c r="G35" t="s">
        <v>37</v>
      </c>
      <c r="I35" t="s">
        <v>43</v>
      </c>
      <c r="J35">
        <v>4</v>
      </c>
      <c r="K35">
        <v>8360</v>
      </c>
      <c r="L35">
        <v>3</v>
      </c>
    </row>
    <row r="36" spans="1:12" x14ac:dyDescent="0.25">
      <c r="A36" t="s">
        <v>81</v>
      </c>
      <c r="B36">
        <v>55</v>
      </c>
      <c r="C36" t="s">
        <v>13</v>
      </c>
      <c r="D36" t="s">
        <v>49</v>
      </c>
      <c r="E36" t="s">
        <v>82</v>
      </c>
      <c r="F36" t="s">
        <v>16</v>
      </c>
      <c r="G36" t="s">
        <v>37</v>
      </c>
      <c r="I36" t="s">
        <v>18</v>
      </c>
      <c r="J36">
        <v>0</v>
      </c>
      <c r="K36">
        <v>0</v>
      </c>
      <c r="L36">
        <v>2</v>
      </c>
    </row>
    <row r="37" spans="1:12" x14ac:dyDescent="0.25">
      <c r="A37" t="s">
        <v>83</v>
      </c>
      <c r="B37">
        <v>33</v>
      </c>
      <c r="C37" t="s">
        <v>13</v>
      </c>
      <c r="D37" t="s">
        <v>14</v>
      </c>
      <c r="E37" t="s">
        <v>84</v>
      </c>
      <c r="F37" t="s">
        <v>36</v>
      </c>
      <c r="G37" t="s">
        <v>37</v>
      </c>
      <c r="I37" t="s">
        <v>18</v>
      </c>
      <c r="J37">
        <v>1</v>
      </c>
      <c r="K37">
        <v>5378</v>
      </c>
      <c r="L37">
        <v>2</v>
      </c>
    </row>
    <row r="38" spans="1:12" x14ac:dyDescent="0.25">
      <c r="A38" t="s">
        <v>241</v>
      </c>
      <c r="B38">
        <v>20</v>
      </c>
      <c r="C38" t="s">
        <v>22</v>
      </c>
      <c r="D38" t="s">
        <v>26</v>
      </c>
      <c r="E38" t="s">
        <v>45</v>
      </c>
      <c r="F38" t="s">
        <v>16</v>
      </c>
      <c r="G38" t="s">
        <v>37</v>
      </c>
      <c r="I38" t="s">
        <v>43</v>
      </c>
      <c r="J38">
        <v>0</v>
      </c>
      <c r="K38">
        <v>0</v>
      </c>
      <c r="L38">
        <v>4</v>
      </c>
    </row>
    <row r="39" spans="1:12" x14ac:dyDescent="0.25">
      <c r="A39" t="s">
        <v>235</v>
      </c>
      <c r="B39">
        <v>58</v>
      </c>
      <c r="C39" t="s">
        <v>13</v>
      </c>
      <c r="D39" t="s">
        <v>23</v>
      </c>
      <c r="E39" t="s">
        <v>236</v>
      </c>
      <c r="F39" t="s">
        <v>16</v>
      </c>
      <c r="G39" t="s">
        <v>37</v>
      </c>
      <c r="I39" t="s">
        <v>20</v>
      </c>
      <c r="J39">
        <v>1</v>
      </c>
      <c r="K39">
        <v>2217</v>
      </c>
      <c r="L39">
        <v>2</v>
      </c>
    </row>
    <row r="40" spans="1:12" x14ac:dyDescent="0.25">
      <c r="A40" t="s">
        <v>88</v>
      </c>
      <c r="B40">
        <v>60</v>
      </c>
      <c r="C40" t="s">
        <v>13</v>
      </c>
      <c r="D40" t="s">
        <v>14</v>
      </c>
      <c r="E40" t="s">
        <v>89</v>
      </c>
      <c r="F40" t="s">
        <v>36</v>
      </c>
      <c r="G40" t="s">
        <v>37</v>
      </c>
      <c r="I40" t="s">
        <v>20</v>
      </c>
      <c r="J40">
        <v>5</v>
      </c>
      <c r="K40">
        <v>49230</v>
      </c>
      <c r="L40">
        <v>4</v>
      </c>
    </row>
    <row r="41" spans="1:12" x14ac:dyDescent="0.25">
      <c r="A41" t="s">
        <v>90</v>
      </c>
      <c r="B41">
        <v>52</v>
      </c>
      <c r="C41" t="s">
        <v>22</v>
      </c>
      <c r="D41" t="s">
        <v>91</v>
      </c>
      <c r="E41" t="s">
        <v>92</v>
      </c>
      <c r="F41" t="s">
        <v>36</v>
      </c>
      <c r="G41" t="s">
        <v>37</v>
      </c>
      <c r="I41" t="s">
        <v>20</v>
      </c>
      <c r="J41">
        <v>2</v>
      </c>
      <c r="K41">
        <v>4252</v>
      </c>
      <c r="L41">
        <v>1</v>
      </c>
    </row>
    <row r="42" spans="1:12" x14ac:dyDescent="0.25">
      <c r="A42" t="s">
        <v>93</v>
      </c>
      <c r="B42">
        <v>56</v>
      </c>
      <c r="C42" t="s">
        <v>22</v>
      </c>
      <c r="D42" t="s">
        <v>14</v>
      </c>
      <c r="E42" t="s">
        <v>94</v>
      </c>
      <c r="F42" t="s">
        <v>16</v>
      </c>
      <c r="G42" t="s">
        <v>37</v>
      </c>
      <c r="I42" t="s">
        <v>20</v>
      </c>
      <c r="J42">
        <v>4</v>
      </c>
      <c r="K42">
        <v>18456</v>
      </c>
      <c r="L42">
        <v>3</v>
      </c>
    </row>
    <row r="43" spans="1:12" x14ac:dyDescent="0.25">
      <c r="A43" t="s">
        <v>95</v>
      </c>
      <c r="B43">
        <v>20</v>
      </c>
      <c r="C43" t="s">
        <v>22</v>
      </c>
      <c r="D43" t="s">
        <v>14</v>
      </c>
      <c r="E43" t="s">
        <v>96</v>
      </c>
      <c r="F43" t="s">
        <v>16</v>
      </c>
      <c r="G43" t="s">
        <v>37</v>
      </c>
      <c r="I43" t="s">
        <v>18</v>
      </c>
      <c r="J43">
        <v>1</v>
      </c>
      <c r="K43">
        <v>7467</v>
      </c>
      <c r="L43">
        <v>4</v>
      </c>
    </row>
    <row r="44" spans="1:12" x14ac:dyDescent="0.25">
      <c r="A44" t="s">
        <v>233</v>
      </c>
      <c r="B44">
        <v>42</v>
      </c>
      <c r="C44" t="s">
        <v>22</v>
      </c>
      <c r="D44" t="s">
        <v>14</v>
      </c>
      <c r="E44" t="s">
        <v>110</v>
      </c>
      <c r="F44" t="s">
        <v>36</v>
      </c>
      <c r="G44" t="s">
        <v>37</v>
      </c>
      <c r="I44" t="s">
        <v>20</v>
      </c>
      <c r="J44">
        <v>0</v>
      </c>
      <c r="K44">
        <v>0</v>
      </c>
      <c r="L44">
        <v>2</v>
      </c>
    </row>
    <row r="45" spans="1:12" x14ac:dyDescent="0.25">
      <c r="A45" t="s">
        <v>98</v>
      </c>
      <c r="B45">
        <v>36</v>
      </c>
      <c r="C45" t="s">
        <v>13</v>
      </c>
      <c r="D45" t="s">
        <v>14</v>
      </c>
      <c r="E45" t="s">
        <v>99</v>
      </c>
      <c r="F45" t="s">
        <v>36</v>
      </c>
      <c r="G45" t="s">
        <v>37</v>
      </c>
      <c r="I45" t="s">
        <v>43</v>
      </c>
      <c r="J45">
        <v>4</v>
      </c>
      <c r="K45">
        <v>43296</v>
      </c>
      <c r="L45">
        <v>3</v>
      </c>
    </row>
    <row r="46" spans="1:12" x14ac:dyDescent="0.25">
      <c r="A46" t="s">
        <v>228</v>
      </c>
      <c r="B46">
        <v>59</v>
      </c>
      <c r="C46" t="s">
        <v>22</v>
      </c>
      <c r="D46" t="s">
        <v>23</v>
      </c>
      <c r="E46" t="s">
        <v>39</v>
      </c>
      <c r="F46" t="s">
        <v>16</v>
      </c>
      <c r="G46" t="s">
        <v>37</v>
      </c>
      <c r="I46" t="s">
        <v>20</v>
      </c>
      <c r="J46">
        <v>1</v>
      </c>
      <c r="K46">
        <v>9185</v>
      </c>
      <c r="L46">
        <v>4</v>
      </c>
    </row>
    <row r="47" spans="1:12" x14ac:dyDescent="0.25">
      <c r="A47" t="s">
        <v>226</v>
      </c>
      <c r="B47">
        <v>19</v>
      </c>
      <c r="C47" t="s">
        <v>22</v>
      </c>
      <c r="D47" t="s">
        <v>14</v>
      </c>
      <c r="E47" t="s">
        <v>227</v>
      </c>
      <c r="F47" t="s">
        <v>16</v>
      </c>
      <c r="G47" t="s">
        <v>17</v>
      </c>
      <c r="H47">
        <v>1</v>
      </c>
      <c r="I47" t="s">
        <v>20</v>
      </c>
      <c r="J47">
        <v>3</v>
      </c>
      <c r="K47">
        <v>20163</v>
      </c>
      <c r="L47">
        <v>3</v>
      </c>
    </row>
    <row r="48" spans="1:12" x14ac:dyDescent="0.25">
      <c r="A48" t="s">
        <v>223</v>
      </c>
      <c r="B48">
        <v>30</v>
      </c>
      <c r="C48" t="s">
        <v>22</v>
      </c>
      <c r="D48" t="s">
        <v>30</v>
      </c>
      <c r="E48" t="s">
        <v>167</v>
      </c>
      <c r="F48" t="s">
        <v>36</v>
      </c>
      <c r="G48" t="s">
        <v>37</v>
      </c>
      <c r="I48" t="s">
        <v>20</v>
      </c>
      <c r="J48">
        <v>3</v>
      </c>
      <c r="K48">
        <v>29217</v>
      </c>
      <c r="L48">
        <v>4</v>
      </c>
    </row>
    <row r="49" spans="1:12" x14ac:dyDescent="0.25">
      <c r="A49" t="s">
        <v>218</v>
      </c>
      <c r="B49">
        <v>59</v>
      </c>
      <c r="C49" t="s">
        <v>22</v>
      </c>
      <c r="D49" t="s">
        <v>23</v>
      </c>
      <c r="E49" t="s">
        <v>203</v>
      </c>
      <c r="F49" t="s">
        <v>16</v>
      </c>
      <c r="G49" t="s">
        <v>37</v>
      </c>
      <c r="I49" t="s">
        <v>43</v>
      </c>
      <c r="J49">
        <v>4</v>
      </c>
      <c r="K49">
        <v>12124</v>
      </c>
      <c r="L49">
        <v>4</v>
      </c>
    </row>
    <row r="50" spans="1:12" x14ac:dyDescent="0.25">
      <c r="A50" t="s">
        <v>104</v>
      </c>
      <c r="B50">
        <v>29</v>
      </c>
      <c r="C50" t="s">
        <v>22</v>
      </c>
      <c r="D50" t="s">
        <v>14</v>
      </c>
      <c r="E50" t="s">
        <v>105</v>
      </c>
      <c r="F50" t="s">
        <v>36</v>
      </c>
      <c r="G50" t="s">
        <v>37</v>
      </c>
      <c r="I50" t="s">
        <v>20</v>
      </c>
      <c r="J50">
        <v>3</v>
      </c>
      <c r="K50">
        <v>30606</v>
      </c>
      <c r="L50">
        <v>3</v>
      </c>
    </row>
    <row r="51" spans="1:12" x14ac:dyDescent="0.25">
      <c r="A51" t="s">
        <v>215</v>
      </c>
      <c r="B51">
        <v>53</v>
      </c>
      <c r="C51" t="s">
        <v>22</v>
      </c>
      <c r="D51" t="s">
        <v>14</v>
      </c>
      <c r="E51" t="s">
        <v>216</v>
      </c>
      <c r="F51" t="s">
        <v>36</v>
      </c>
      <c r="G51" t="s">
        <v>37</v>
      </c>
      <c r="I51" t="s">
        <v>20</v>
      </c>
      <c r="J51">
        <v>0</v>
      </c>
      <c r="K51">
        <v>0</v>
      </c>
      <c r="L51">
        <v>2</v>
      </c>
    </row>
    <row r="52" spans="1:12" x14ac:dyDescent="0.25">
      <c r="A52" t="s">
        <v>107</v>
      </c>
      <c r="B52">
        <v>51</v>
      </c>
      <c r="C52" t="s">
        <v>22</v>
      </c>
      <c r="D52" t="s">
        <v>26</v>
      </c>
      <c r="E52" t="s">
        <v>15</v>
      </c>
      <c r="F52" t="s">
        <v>16</v>
      </c>
      <c r="G52" t="s">
        <v>17</v>
      </c>
      <c r="H52">
        <v>3</v>
      </c>
      <c r="I52" t="s">
        <v>20</v>
      </c>
      <c r="J52">
        <v>40</v>
      </c>
      <c r="L52">
        <v>3</v>
      </c>
    </row>
    <row r="53" spans="1:12" x14ac:dyDescent="0.25">
      <c r="A53" t="s">
        <v>207</v>
      </c>
      <c r="B53">
        <v>40</v>
      </c>
      <c r="C53" t="s">
        <v>22</v>
      </c>
      <c r="D53" t="s">
        <v>30</v>
      </c>
      <c r="E53" t="s">
        <v>141</v>
      </c>
      <c r="F53" t="s">
        <v>16</v>
      </c>
      <c r="G53" t="s">
        <v>17</v>
      </c>
      <c r="H53">
        <v>2</v>
      </c>
      <c r="I53" t="s">
        <v>20</v>
      </c>
      <c r="J53">
        <v>22</v>
      </c>
      <c r="K53">
        <v>250118</v>
      </c>
      <c r="L53">
        <v>3</v>
      </c>
    </row>
    <row r="54" spans="1:12" x14ac:dyDescent="0.25">
      <c r="A54" t="s">
        <v>109</v>
      </c>
      <c r="B54">
        <v>21</v>
      </c>
      <c r="C54" t="s">
        <v>13</v>
      </c>
      <c r="D54" t="s">
        <v>23</v>
      </c>
      <c r="E54" t="s">
        <v>110</v>
      </c>
      <c r="F54" t="s">
        <v>36</v>
      </c>
      <c r="G54" t="s">
        <v>37</v>
      </c>
      <c r="I54" t="s">
        <v>18</v>
      </c>
      <c r="J54">
        <v>4</v>
      </c>
      <c r="K54">
        <v>30928</v>
      </c>
      <c r="L54">
        <v>4</v>
      </c>
    </row>
    <row r="55" spans="1:12" x14ac:dyDescent="0.25">
      <c r="A55" t="s">
        <v>111</v>
      </c>
      <c r="B55">
        <v>18</v>
      </c>
      <c r="C55" t="s">
        <v>22</v>
      </c>
      <c r="D55" t="s">
        <v>14</v>
      </c>
      <c r="E55" t="s">
        <v>110</v>
      </c>
      <c r="F55" t="s">
        <v>36</v>
      </c>
      <c r="G55" t="s">
        <v>37</v>
      </c>
      <c r="I55" t="s">
        <v>20</v>
      </c>
      <c r="J55">
        <v>5</v>
      </c>
      <c r="K55">
        <v>52235</v>
      </c>
      <c r="L55">
        <v>2</v>
      </c>
    </row>
    <row r="56" spans="1:12" x14ac:dyDescent="0.25">
      <c r="A56" t="s">
        <v>205</v>
      </c>
      <c r="B56">
        <v>57</v>
      </c>
      <c r="C56" t="s">
        <v>22</v>
      </c>
      <c r="D56" t="s">
        <v>23</v>
      </c>
      <c r="E56" t="s">
        <v>149</v>
      </c>
      <c r="F56" t="s">
        <v>16</v>
      </c>
      <c r="G56" t="s">
        <v>17</v>
      </c>
      <c r="H56">
        <v>3</v>
      </c>
      <c r="I56" t="s">
        <v>20</v>
      </c>
      <c r="J56">
        <v>51</v>
      </c>
      <c r="K56">
        <v>514284</v>
      </c>
      <c r="L56">
        <v>3</v>
      </c>
    </row>
    <row r="57" spans="1:12" x14ac:dyDescent="0.25">
      <c r="A57" t="s">
        <v>201</v>
      </c>
      <c r="B57">
        <v>31</v>
      </c>
      <c r="C57" t="s">
        <v>22</v>
      </c>
      <c r="D57" t="s">
        <v>91</v>
      </c>
      <c r="E57" t="s">
        <v>39</v>
      </c>
      <c r="F57" t="s">
        <v>16</v>
      </c>
      <c r="G57" t="s">
        <v>17</v>
      </c>
      <c r="H57">
        <v>1</v>
      </c>
      <c r="I57" t="s">
        <v>20</v>
      </c>
      <c r="J57">
        <v>55</v>
      </c>
      <c r="K57">
        <v>240790</v>
      </c>
      <c r="L57">
        <v>3</v>
      </c>
    </row>
    <row r="58" spans="1:12" x14ac:dyDescent="0.25">
      <c r="A58" t="s">
        <v>200</v>
      </c>
      <c r="B58">
        <v>25</v>
      </c>
      <c r="C58" t="s">
        <v>22</v>
      </c>
      <c r="D58" t="s">
        <v>30</v>
      </c>
      <c r="E58" t="s">
        <v>114</v>
      </c>
      <c r="F58" t="s">
        <v>16</v>
      </c>
      <c r="G58" t="s">
        <v>17</v>
      </c>
      <c r="H58">
        <v>0</v>
      </c>
      <c r="I58" t="s">
        <v>20</v>
      </c>
      <c r="J58">
        <v>76</v>
      </c>
      <c r="K58">
        <v>182172</v>
      </c>
      <c r="L58">
        <v>3</v>
      </c>
    </row>
    <row r="59" spans="1:12" x14ac:dyDescent="0.25">
      <c r="A59" t="s">
        <v>117</v>
      </c>
      <c r="B59">
        <v>48</v>
      </c>
      <c r="C59" t="s">
        <v>13</v>
      </c>
      <c r="D59" t="s">
        <v>30</v>
      </c>
      <c r="E59" t="s">
        <v>118</v>
      </c>
      <c r="F59" t="s">
        <v>36</v>
      </c>
      <c r="G59" t="s">
        <v>37</v>
      </c>
      <c r="I59" t="s">
        <v>18</v>
      </c>
      <c r="J59">
        <v>5</v>
      </c>
      <c r="K59">
        <v>10795</v>
      </c>
      <c r="L59">
        <v>1</v>
      </c>
    </row>
    <row r="60" spans="1:12" x14ac:dyDescent="0.25">
      <c r="A60" t="s">
        <v>199</v>
      </c>
      <c r="B60">
        <v>35</v>
      </c>
      <c r="C60" t="s">
        <v>22</v>
      </c>
      <c r="D60" t="s">
        <v>26</v>
      </c>
      <c r="E60" t="s">
        <v>52</v>
      </c>
      <c r="F60" t="s">
        <v>16</v>
      </c>
      <c r="G60" t="s">
        <v>17</v>
      </c>
      <c r="H60">
        <v>3</v>
      </c>
      <c r="I60" t="s">
        <v>18</v>
      </c>
      <c r="J60">
        <v>14</v>
      </c>
      <c r="K60">
        <v>100170</v>
      </c>
      <c r="L60">
        <v>4</v>
      </c>
    </row>
    <row r="61" spans="1:12" x14ac:dyDescent="0.25">
      <c r="A61" t="s">
        <v>197</v>
      </c>
      <c r="B61">
        <v>37</v>
      </c>
      <c r="C61" t="s">
        <v>22</v>
      </c>
      <c r="D61" t="s">
        <v>23</v>
      </c>
      <c r="E61" t="s">
        <v>198</v>
      </c>
      <c r="F61" t="s">
        <v>16</v>
      </c>
      <c r="G61" t="s">
        <v>37</v>
      </c>
      <c r="I61" t="s">
        <v>20</v>
      </c>
      <c r="J61">
        <v>4</v>
      </c>
      <c r="K61">
        <v>9260</v>
      </c>
      <c r="L61">
        <v>1</v>
      </c>
    </row>
    <row r="62" spans="1:12" x14ac:dyDescent="0.25">
      <c r="A62" t="s">
        <v>194</v>
      </c>
      <c r="B62">
        <v>35</v>
      </c>
      <c r="C62" t="s">
        <v>13</v>
      </c>
      <c r="D62" t="s">
        <v>23</v>
      </c>
      <c r="E62" t="s">
        <v>84</v>
      </c>
      <c r="F62" t="s">
        <v>36</v>
      </c>
      <c r="G62" t="s">
        <v>37</v>
      </c>
      <c r="I62" t="s">
        <v>18</v>
      </c>
      <c r="J62">
        <v>5</v>
      </c>
      <c r="K62">
        <v>53105</v>
      </c>
      <c r="L62">
        <v>7</v>
      </c>
    </row>
    <row r="63" spans="1:12" x14ac:dyDescent="0.25">
      <c r="A63" t="s">
        <v>184</v>
      </c>
      <c r="B63">
        <v>32</v>
      </c>
      <c r="C63" t="s">
        <v>22</v>
      </c>
      <c r="D63" t="s">
        <v>23</v>
      </c>
      <c r="E63" t="s">
        <v>42</v>
      </c>
      <c r="F63" t="s">
        <v>16</v>
      </c>
      <c r="G63" t="s">
        <v>17</v>
      </c>
      <c r="H63">
        <v>2</v>
      </c>
      <c r="I63" t="s">
        <v>43</v>
      </c>
      <c r="J63">
        <v>69</v>
      </c>
      <c r="K63">
        <v>386814</v>
      </c>
      <c r="L63">
        <v>3</v>
      </c>
    </row>
    <row r="64" spans="1:12" x14ac:dyDescent="0.25">
      <c r="A64" t="s">
        <v>179</v>
      </c>
      <c r="B64">
        <v>42</v>
      </c>
      <c r="C64" t="s">
        <v>22</v>
      </c>
      <c r="D64" t="s">
        <v>14</v>
      </c>
      <c r="E64" t="s">
        <v>180</v>
      </c>
      <c r="F64" t="s">
        <v>36</v>
      </c>
      <c r="G64" t="s">
        <v>37</v>
      </c>
      <c r="I64" t="s">
        <v>18</v>
      </c>
      <c r="J64">
        <v>1</v>
      </c>
      <c r="K64">
        <v>8297</v>
      </c>
      <c r="L64">
        <v>1</v>
      </c>
    </row>
    <row r="65" spans="1:12" x14ac:dyDescent="0.25">
      <c r="A65" t="s">
        <v>177</v>
      </c>
      <c r="B65">
        <v>37</v>
      </c>
      <c r="C65" t="s">
        <v>22</v>
      </c>
      <c r="D65" t="s">
        <v>14</v>
      </c>
      <c r="E65" t="s">
        <v>178</v>
      </c>
      <c r="F65" t="s">
        <v>36</v>
      </c>
      <c r="G65" t="s">
        <v>37</v>
      </c>
      <c r="I65" t="s">
        <v>20</v>
      </c>
      <c r="J65">
        <v>0</v>
      </c>
      <c r="K65">
        <v>0</v>
      </c>
      <c r="L65">
        <v>2</v>
      </c>
    </row>
    <row r="66" spans="1:12" x14ac:dyDescent="0.25">
      <c r="A66" t="s">
        <v>176</v>
      </c>
      <c r="B66">
        <v>24</v>
      </c>
      <c r="C66" t="s">
        <v>13</v>
      </c>
      <c r="D66" t="s">
        <v>49</v>
      </c>
      <c r="E66" t="s">
        <v>138</v>
      </c>
      <c r="F66" t="s">
        <v>36</v>
      </c>
      <c r="G66" t="s">
        <v>37</v>
      </c>
      <c r="I66" t="s">
        <v>43</v>
      </c>
      <c r="J66">
        <v>1</v>
      </c>
      <c r="K66">
        <v>2535</v>
      </c>
      <c r="L66">
        <v>4</v>
      </c>
    </row>
    <row r="67" spans="1:12" x14ac:dyDescent="0.25">
      <c r="A67" t="s">
        <v>173</v>
      </c>
      <c r="B67">
        <v>47</v>
      </c>
      <c r="C67" t="s">
        <v>13</v>
      </c>
      <c r="D67" t="s">
        <v>14</v>
      </c>
      <c r="E67" t="s">
        <v>174</v>
      </c>
      <c r="F67" t="s">
        <v>36</v>
      </c>
      <c r="G67" t="s">
        <v>37</v>
      </c>
      <c r="I67" t="s">
        <v>43</v>
      </c>
      <c r="J67">
        <v>4</v>
      </c>
      <c r="K67">
        <v>29968</v>
      </c>
      <c r="L67">
        <v>1</v>
      </c>
    </row>
    <row r="68" spans="1:12" x14ac:dyDescent="0.25">
      <c r="A68" t="s">
        <v>168</v>
      </c>
      <c r="B68">
        <v>54</v>
      </c>
      <c r="C68" t="s">
        <v>13</v>
      </c>
      <c r="D68" t="s">
        <v>91</v>
      </c>
      <c r="E68" t="s">
        <v>169</v>
      </c>
      <c r="F68" t="s">
        <v>16</v>
      </c>
      <c r="G68" t="s">
        <v>37</v>
      </c>
      <c r="I68" t="s">
        <v>18</v>
      </c>
      <c r="J68">
        <v>1</v>
      </c>
      <c r="K68">
        <v>11446</v>
      </c>
      <c r="L68">
        <v>3</v>
      </c>
    </row>
    <row r="69" spans="1:12" x14ac:dyDescent="0.25">
      <c r="A69" t="s">
        <v>128</v>
      </c>
      <c r="B69">
        <v>45</v>
      </c>
      <c r="C69" t="s">
        <v>22</v>
      </c>
      <c r="D69" t="s">
        <v>14</v>
      </c>
      <c r="E69" t="s">
        <v>116</v>
      </c>
      <c r="F69" t="s">
        <v>16</v>
      </c>
      <c r="G69" t="s">
        <v>17</v>
      </c>
      <c r="H69">
        <v>1</v>
      </c>
      <c r="I69" t="s">
        <v>18</v>
      </c>
      <c r="J69">
        <v>40</v>
      </c>
      <c r="K69">
        <v>138320</v>
      </c>
      <c r="L69">
        <v>5</v>
      </c>
    </row>
    <row r="70" spans="1:12" x14ac:dyDescent="0.25">
      <c r="A70" t="s">
        <v>162</v>
      </c>
      <c r="B70">
        <v>29</v>
      </c>
      <c r="C70" t="s">
        <v>13</v>
      </c>
      <c r="D70" t="s">
        <v>14</v>
      </c>
      <c r="E70" t="s">
        <v>163</v>
      </c>
      <c r="F70" t="s">
        <v>36</v>
      </c>
      <c r="G70" t="s">
        <v>37</v>
      </c>
      <c r="I70" t="s">
        <v>20</v>
      </c>
      <c r="J70">
        <v>4</v>
      </c>
      <c r="K70">
        <v>15376</v>
      </c>
      <c r="L70">
        <v>2</v>
      </c>
    </row>
    <row r="71" spans="1:12" x14ac:dyDescent="0.25">
      <c r="A71" t="s">
        <v>161</v>
      </c>
      <c r="B71">
        <v>37</v>
      </c>
      <c r="C71" t="s">
        <v>13</v>
      </c>
      <c r="D71" t="s">
        <v>14</v>
      </c>
      <c r="E71" t="s">
        <v>70</v>
      </c>
      <c r="F71" t="s">
        <v>16</v>
      </c>
      <c r="G71" t="s">
        <v>17</v>
      </c>
      <c r="H71">
        <v>2</v>
      </c>
      <c r="I71" t="s">
        <v>20</v>
      </c>
      <c r="J71">
        <v>52</v>
      </c>
      <c r="K71">
        <v>560144</v>
      </c>
      <c r="L71">
        <v>5</v>
      </c>
    </row>
    <row r="72" spans="1:12" x14ac:dyDescent="0.25">
      <c r="A72" t="s">
        <v>153</v>
      </c>
      <c r="B72">
        <v>36</v>
      </c>
      <c r="C72" t="s">
        <v>22</v>
      </c>
      <c r="D72" t="s">
        <v>49</v>
      </c>
      <c r="E72" t="s">
        <v>130</v>
      </c>
      <c r="F72" t="s">
        <v>36</v>
      </c>
      <c r="G72" t="s">
        <v>37</v>
      </c>
      <c r="I72" t="s">
        <v>20</v>
      </c>
      <c r="J72">
        <v>3</v>
      </c>
      <c r="K72">
        <v>13866</v>
      </c>
      <c r="L72">
        <v>2</v>
      </c>
    </row>
    <row r="73" spans="1:12" x14ac:dyDescent="0.25">
      <c r="A73" t="s">
        <v>133</v>
      </c>
      <c r="B73">
        <v>25</v>
      </c>
      <c r="C73" t="s">
        <v>13</v>
      </c>
      <c r="D73" t="s">
        <v>49</v>
      </c>
      <c r="E73" t="s">
        <v>134</v>
      </c>
      <c r="F73" t="s">
        <v>16</v>
      </c>
      <c r="G73" t="s">
        <v>17</v>
      </c>
      <c r="H73">
        <v>2</v>
      </c>
      <c r="I73" t="s">
        <v>20</v>
      </c>
      <c r="J73">
        <v>72</v>
      </c>
      <c r="K73">
        <v>466416</v>
      </c>
      <c r="L73">
        <v>3</v>
      </c>
    </row>
    <row r="74" spans="1:12" x14ac:dyDescent="0.25">
      <c r="A74" t="s">
        <v>135</v>
      </c>
      <c r="B74">
        <v>33</v>
      </c>
      <c r="C74" t="s">
        <v>13</v>
      </c>
      <c r="D74" t="s">
        <v>26</v>
      </c>
      <c r="E74" t="s">
        <v>136</v>
      </c>
      <c r="F74" t="s">
        <v>16</v>
      </c>
      <c r="G74" t="s">
        <v>17</v>
      </c>
      <c r="H74">
        <v>3</v>
      </c>
      <c r="I74" t="s">
        <v>18</v>
      </c>
      <c r="J74">
        <v>48</v>
      </c>
      <c r="K74">
        <v>426288</v>
      </c>
      <c r="L74">
        <v>4</v>
      </c>
    </row>
    <row r="75" spans="1:12" x14ac:dyDescent="0.25">
      <c r="A75" t="s">
        <v>137</v>
      </c>
      <c r="B75">
        <v>37</v>
      </c>
      <c r="C75" t="s">
        <v>22</v>
      </c>
      <c r="D75" t="s">
        <v>14</v>
      </c>
      <c r="E75" t="s">
        <v>138</v>
      </c>
      <c r="F75" t="s">
        <v>16</v>
      </c>
      <c r="G75" t="s">
        <v>37</v>
      </c>
      <c r="I75" t="s">
        <v>20</v>
      </c>
      <c r="J75">
        <v>1</v>
      </c>
      <c r="K75">
        <v>11748</v>
      </c>
      <c r="L75">
        <v>2</v>
      </c>
    </row>
    <row r="76" spans="1:12" x14ac:dyDescent="0.25">
      <c r="A76" t="s">
        <v>151</v>
      </c>
      <c r="B76">
        <v>53</v>
      </c>
      <c r="C76" t="s">
        <v>13</v>
      </c>
      <c r="D76" t="s">
        <v>26</v>
      </c>
      <c r="E76" t="s">
        <v>152</v>
      </c>
      <c r="F76" t="s">
        <v>16</v>
      </c>
      <c r="G76" t="s">
        <v>17</v>
      </c>
      <c r="H76">
        <v>1</v>
      </c>
      <c r="I76" t="s">
        <v>20</v>
      </c>
      <c r="J76">
        <v>15</v>
      </c>
      <c r="K76">
        <v>60330</v>
      </c>
      <c r="L76">
        <v>4</v>
      </c>
    </row>
    <row r="77" spans="1:12" x14ac:dyDescent="0.25">
      <c r="A77" t="s">
        <v>140</v>
      </c>
      <c r="B77">
        <v>45</v>
      </c>
      <c r="C77" t="s">
        <v>13</v>
      </c>
      <c r="D77" t="s">
        <v>49</v>
      </c>
      <c r="E77" t="s">
        <v>141</v>
      </c>
      <c r="F77" t="s">
        <v>16</v>
      </c>
      <c r="G77" t="s">
        <v>17</v>
      </c>
      <c r="H77">
        <v>2</v>
      </c>
      <c r="I77" t="s">
        <v>20</v>
      </c>
      <c r="J77">
        <v>21</v>
      </c>
      <c r="K77">
        <v>137319</v>
      </c>
      <c r="L77">
        <v>5</v>
      </c>
    </row>
    <row r="78" spans="1:12" x14ac:dyDescent="0.25">
      <c r="A78" t="s">
        <v>150</v>
      </c>
      <c r="B78">
        <v>36</v>
      </c>
      <c r="C78" t="s">
        <v>22</v>
      </c>
      <c r="D78" t="s">
        <v>28</v>
      </c>
      <c r="E78" t="s">
        <v>52</v>
      </c>
      <c r="F78" t="s">
        <v>16</v>
      </c>
      <c r="G78" t="s">
        <v>37</v>
      </c>
      <c r="I78" t="s">
        <v>18</v>
      </c>
      <c r="J78">
        <v>1</v>
      </c>
      <c r="K78">
        <v>4094</v>
      </c>
      <c r="L78">
        <v>3</v>
      </c>
    </row>
    <row r="79" spans="1:12" x14ac:dyDescent="0.25">
      <c r="A79" t="s">
        <v>143</v>
      </c>
      <c r="B79">
        <v>56</v>
      </c>
      <c r="C79" t="s">
        <v>13</v>
      </c>
      <c r="D79" t="s">
        <v>28</v>
      </c>
      <c r="E79" t="s">
        <v>144</v>
      </c>
      <c r="F79" t="s">
        <v>16</v>
      </c>
      <c r="G79" t="s">
        <v>17</v>
      </c>
      <c r="H79">
        <v>3</v>
      </c>
      <c r="I79" t="s">
        <v>43</v>
      </c>
      <c r="J79">
        <v>73</v>
      </c>
      <c r="K79">
        <v>811687</v>
      </c>
      <c r="L79">
        <v>3</v>
      </c>
    </row>
    <row r="80" spans="1:12" x14ac:dyDescent="0.25">
      <c r="A80" t="s">
        <v>146</v>
      </c>
      <c r="B80">
        <v>23</v>
      </c>
      <c r="C80" t="s">
        <v>22</v>
      </c>
      <c r="D80" t="s">
        <v>14</v>
      </c>
      <c r="E80" t="s">
        <v>86</v>
      </c>
      <c r="F80" t="s">
        <v>16</v>
      </c>
      <c r="G80" t="s">
        <v>17</v>
      </c>
      <c r="H80">
        <v>2</v>
      </c>
      <c r="I80" t="s">
        <v>20</v>
      </c>
      <c r="J80">
        <v>63</v>
      </c>
      <c r="K80">
        <v>391986</v>
      </c>
      <c r="L80">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tabSelected="1" zoomScale="81" workbookViewId="0">
      <selection activeCell="I13" sqref="I13"/>
    </sheetView>
  </sheetViews>
  <sheetFormatPr defaultRowHeight="15" x14ac:dyDescent="0.25"/>
  <cols>
    <col min="1" max="1" width="14.5703125" customWidth="1"/>
    <col min="3" max="3" width="9.85546875" customWidth="1"/>
    <col min="5" max="5" width="17.85546875" style="2" customWidth="1"/>
    <col min="6" max="6" width="20" customWidth="1"/>
    <col min="7" max="7" width="18.5703125" customWidth="1"/>
    <col min="8" max="8" width="18.42578125" customWidth="1"/>
    <col min="9" max="9" width="17" customWidth="1"/>
    <col min="10" max="10" width="24.7109375" style="1" customWidth="1"/>
    <col min="11" max="11" width="28" style="3" customWidth="1"/>
    <col min="12" max="12" width="28.85546875" customWidth="1"/>
    <col min="13" max="13" width="17" customWidth="1"/>
    <col min="14" max="14" width="18.85546875" customWidth="1"/>
  </cols>
  <sheetData>
    <row r="1" spans="1:14" x14ac:dyDescent="0.25">
      <c r="A1" t="s">
        <v>0</v>
      </c>
      <c r="B1" t="s">
        <v>1</v>
      </c>
      <c r="C1" t="s">
        <v>2</v>
      </c>
      <c r="D1" t="s">
        <v>3</v>
      </c>
      <c r="E1" s="1" t="s">
        <v>4</v>
      </c>
      <c r="F1" t="s">
        <v>5</v>
      </c>
      <c r="G1" t="s">
        <v>6</v>
      </c>
      <c r="H1" t="s">
        <v>7</v>
      </c>
      <c r="I1" t="s">
        <v>8</v>
      </c>
      <c r="J1" s="1" t="s">
        <v>9</v>
      </c>
      <c r="K1" s="3" t="s">
        <v>10</v>
      </c>
      <c r="L1" t="s">
        <v>11</v>
      </c>
      <c r="M1" t="s">
        <v>292</v>
      </c>
      <c r="N1" t="s">
        <v>303</v>
      </c>
    </row>
    <row r="2" spans="1:14" x14ac:dyDescent="0.25">
      <c r="A2" t="s">
        <v>12</v>
      </c>
      <c r="B2" s="1">
        <v>58</v>
      </c>
      <c r="C2" t="s">
        <v>13</v>
      </c>
      <c r="D2" t="s">
        <v>14</v>
      </c>
      <c r="E2" s="2">
        <v>46093</v>
      </c>
      <c r="F2" t="s">
        <v>16</v>
      </c>
      <c r="G2" t="s">
        <v>17</v>
      </c>
      <c r="H2">
        <v>1</v>
      </c>
      <c r="I2" t="s">
        <v>18</v>
      </c>
      <c r="J2" s="1">
        <v>69</v>
      </c>
      <c r="K2" s="3">
        <v>201756</v>
      </c>
      <c r="L2">
        <v>5</v>
      </c>
      <c r="M2" t="str" cm="1">
        <f t="array" ref="M2">_xlfn.IFS(Table1[[#This Row],[Age]]="", "Missing", Table1[[#This Row],[Age]]&lt;20, "Below 20", Table1[[#This Row],[Age]]&lt;30, "20-29", Table1[[#This Row],[Age]]&lt;40, "30-39", Table1[[#This Row],[Age]]&lt;50, "40-49", Table1[[#This Row],[Age]]&lt;60, "50-59", Table1[[#This Row],[Age]]&gt;=60, "60+")</f>
        <v>50-59</v>
      </c>
      <c r="N2" t="str" cm="1">
        <f t="array" ref="N2">_xlfn.IFS(Table1[[#This Row],[Days_to_Activate]]&lt;=3, "Fast", Table1[[#This Row],[Days_to_Activate]]&lt;=7, "Moderate", Table1[[#This Row],[Days_to_Activate]]&lt;=14, "Slow", Table1[[#This Row],[Days_to_Activate]]&gt;14, "Outlier")</f>
        <v>Fast</v>
      </c>
    </row>
    <row r="3" spans="1:14" x14ac:dyDescent="0.25">
      <c r="A3" t="s">
        <v>19</v>
      </c>
      <c r="B3">
        <v>45</v>
      </c>
      <c r="C3" t="s">
        <v>13</v>
      </c>
      <c r="D3" t="s">
        <v>14</v>
      </c>
      <c r="E3" s="2">
        <v>46078</v>
      </c>
      <c r="F3" t="s">
        <v>16</v>
      </c>
      <c r="G3" t="s">
        <v>17</v>
      </c>
      <c r="H3">
        <v>8</v>
      </c>
      <c r="I3" t="s">
        <v>20</v>
      </c>
      <c r="J3" s="1">
        <v>69</v>
      </c>
      <c r="K3" s="3">
        <v>577737</v>
      </c>
      <c r="L3">
        <v>2</v>
      </c>
      <c r="M3" t="str" cm="1">
        <f t="array" ref="M3">_xlfn.IFS(Table1[[#This Row],[Age]]="", "Missing", Table1[[#This Row],[Age]]&lt;20, "Below 20", Table1[[#This Row],[Age]]&lt;30, "20-29", Table1[[#This Row],[Age]]&lt;40, "30-39", Table1[[#This Row],[Age]]&lt;50, "40-49", Table1[[#This Row],[Age]]&lt;60, "50-59", Table1[[#This Row],[Age]]&gt;=60, "60+")</f>
        <v>40-49</v>
      </c>
      <c r="N3" t="str" cm="1">
        <f t="array" ref="N3">_xlfn.IFS(Table1[[#This Row],[Days_to_Activate]]&lt;=3, "Fast", Table1[[#This Row],[Days_to_Activate]]&lt;=7, "Moderate", Table1[[#This Row],[Days_to_Activate]]&lt;=14, "Slow", Table1[[#This Row],[Days_to_Activate]]&gt;14, "Outlier")</f>
        <v>Slow</v>
      </c>
    </row>
    <row r="4" spans="1:14" x14ac:dyDescent="0.25">
      <c r="A4" t="s">
        <v>21</v>
      </c>
      <c r="B4">
        <v>46</v>
      </c>
      <c r="C4" t="s">
        <v>22</v>
      </c>
      <c r="D4" t="s">
        <v>23</v>
      </c>
      <c r="E4" s="2">
        <v>46024</v>
      </c>
      <c r="F4" t="s">
        <v>16</v>
      </c>
      <c r="G4" t="s">
        <v>17</v>
      </c>
      <c r="H4">
        <v>6</v>
      </c>
      <c r="I4" t="s">
        <v>20</v>
      </c>
      <c r="J4" s="1">
        <v>19</v>
      </c>
      <c r="K4" s="3">
        <v>95513</v>
      </c>
      <c r="L4">
        <v>3</v>
      </c>
      <c r="M4" t="str" cm="1">
        <f t="array" ref="M4">_xlfn.IFS(Table1[[#This Row],[Age]]="", "Missing", Table1[[#This Row],[Age]]&lt;20, "Below 20", Table1[[#This Row],[Age]]&lt;30, "20-29", Table1[[#This Row],[Age]]&lt;40, "30-39", Table1[[#This Row],[Age]]&lt;50, "40-49", Table1[[#This Row],[Age]]&lt;60, "50-59", Table1[[#This Row],[Age]]&gt;=60, "60+")</f>
        <v>40-49</v>
      </c>
      <c r="N4" t="str" cm="1">
        <f t="array" ref="N4">_xlfn.IFS(Table1[[#This Row],[Days_to_Activate]]&lt;=3, "Fast", Table1[[#This Row],[Days_to_Activate]]&lt;=7, "Moderate", Table1[[#This Row],[Days_to_Activate]]&lt;=14, "Slow", Table1[[#This Row],[Days_to_Activate]]&gt;14, "Outlier")</f>
        <v>Moderate</v>
      </c>
    </row>
    <row r="5" spans="1:14" x14ac:dyDescent="0.25">
      <c r="A5" t="s">
        <v>24</v>
      </c>
      <c r="B5">
        <v>24</v>
      </c>
      <c r="C5" t="s">
        <v>13</v>
      </c>
      <c r="D5" t="s">
        <v>14</v>
      </c>
      <c r="E5" s="2">
        <v>46114</v>
      </c>
      <c r="F5" t="s">
        <v>16</v>
      </c>
      <c r="G5" t="s">
        <v>17</v>
      </c>
      <c r="H5">
        <v>12</v>
      </c>
      <c r="I5" t="s">
        <v>20</v>
      </c>
      <c r="J5" s="1">
        <v>58</v>
      </c>
      <c r="K5" s="3">
        <v>596530</v>
      </c>
      <c r="L5">
        <v>1</v>
      </c>
      <c r="M5" t="str" cm="1">
        <f t="array" ref="M5">_xlfn.IFS(Table1[[#This Row],[Age]]="", "Missing", Table1[[#This Row],[Age]]&lt;20, "Below 20", Table1[[#This Row],[Age]]&lt;30, "20-29", Table1[[#This Row],[Age]]&lt;40, "30-39", Table1[[#This Row],[Age]]&lt;50, "40-49", Table1[[#This Row],[Age]]&lt;60, "50-59", Table1[[#This Row],[Age]]&gt;=60, "60+")</f>
        <v>20-29</v>
      </c>
      <c r="N5" t="str" cm="1">
        <f t="array" ref="N5">_xlfn.IFS(Table1[[#This Row],[Days_to_Activate]]&lt;=3, "Fast", Table1[[#This Row],[Days_to_Activate]]&lt;=7, "Moderate", Table1[[#This Row],[Days_to_Activate]]&lt;=14, "Slow", Table1[[#This Row],[Days_to_Activate]]&gt;14, "Outlier")</f>
        <v>Slow</v>
      </c>
    </row>
    <row r="6" spans="1:14" x14ac:dyDescent="0.25">
      <c r="A6" t="s">
        <v>25</v>
      </c>
      <c r="B6">
        <v>42</v>
      </c>
      <c r="C6" t="s">
        <v>13</v>
      </c>
      <c r="D6" t="s">
        <v>26</v>
      </c>
      <c r="E6" s="2">
        <v>46183</v>
      </c>
      <c r="F6" t="s">
        <v>16</v>
      </c>
      <c r="G6" t="s">
        <v>17</v>
      </c>
      <c r="H6">
        <v>9</v>
      </c>
      <c r="I6" t="s">
        <v>20</v>
      </c>
      <c r="J6" s="1">
        <v>8</v>
      </c>
      <c r="K6" s="3">
        <v>18000</v>
      </c>
      <c r="L6">
        <v>2</v>
      </c>
      <c r="M6" t="str" cm="1">
        <f t="array" ref="M6">_xlfn.IFS(Table1[[#This Row],[Age]]="", "Missing", Table1[[#This Row],[Age]]&lt;20, "Below 20", Table1[[#This Row],[Age]]&lt;30, "20-29", Table1[[#This Row],[Age]]&lt;40, "30-39", Table1[[#This Row],[Age]]&lt;50, "40-49", Table1[[#This Row],[Age]]&lt;60, "50-59", Table1[[#This Row],[Age]]&gt;=60, "60+")</f>
        <v>40-49</v>
      </c>
      <c r="N6" t="str" cm="1">
        <f t="array" ref="N6">_xlfn.IFS(Table1[[#This Row],[Days_to_Activate]]&lt;=3, "Fast", Table1[[#This Row],[Days_to_Activate]]&lt;=7, "Moderate", Table1[[#This Row],[Days_to_Activate]]&lt;=14, "Slow", Table1[[#This Row],[Days_to_Activate]]&gt;14, "Outlier")</f>
        <v>Slow</v>
      </c>
    </row>
    <row r="7" spans="1:14" x14ac:dyDescent="0.25">
      <c r="A7" t="s">
        <v>27</v>
      </c>
      <c r="B7">
        <v>36</v>
      </c>
      <c r="C7" t="s">
        <v>13</v>
      </c>
      <c r="D7" t="s">
        <v>28</v>
      </c>
      <c r="E7" s="2">
        <v>46048</v>
      </c>
      <c r="F7" t="s">
        <v>16</v>
      </c>
      <c r="G7" t="s">
        <v>17</v>
      </c>
      <c r="H7">
        <v>13</v>
      </c>
      <c r="I7" t="s">
        <v>20</v>
      </c>
      <c r="J7" s="1">
        <v>47</v>
      </c>
      <c r="K7" s="3">
        <v>344040</v>
      </c>
      <c r="L7">
        <v>2</v>
      </c>
      <c r="M7" t="str" cm="1">
        <f t="array" ref="M7">_xlfn.IFS(Table1[[#This Row],[Age]]="", "Missing", Table1[[#This Row],[Age]]&lt;20, "Below 20", Table1[[#This Row],[Age]]&lt;30, "20-29", Table1[[#This Row],[Age]]&lt;40, "30-39", Table1[[#This Row],[Age]]&lt;50, "40-49", Table1[[#This Row],[Age]]&lt;60, "50-59", Table1[[#This Row],[Age]]&gt;=60, "60+")</f>
        <v>30-39</v>
      </c>
      <c r="N7" t="str" cm="1">
        <f t="array" ref="N7">_xlfn.IFS(Table1[[#This Row],[Days_to_Activate]]&lt;=3, "Fast", Table1[[#This Row],[Days_to_Activate]]&lt;=7, "Moderate", Table1[[#This Row],[Days_to_Activate]]&lt;=14, "Slow", Table1[[#This Row],[Days_to_Activate]]&gt;14, "Outlier")</f>
        <v>Slow</v>
      </c>
    </row>
    <row r="8" spans="1:14" x14ac:dyDescent="0.25">
      <c r="A8" t="s">
        <v>29</v>
      </c>
      <c r="B8">
        <v>60</v>
      </c>
      <c r="C8" t="s">
        <v>22</v>
      </c>
      <c r="D8" t="s">
        <v>30</v>
      </c>
      <c r="E8" s="2">
        <v>46197</v>
      </c>
      <c r="F8" t="s">
        <v>16</v>
      </c>
      <c r="G8" t="s">
        <v>17</v>
      </c>
      <c r="H8">
        <v>2</v>
      </c>
      <c r="I8" t="s">
        <v>20</v>
      </c>
      <c r="J8" s="1">
        <v>31</v>
      </c>
      <c r="K8" s="3">
        <v>129487</v>
      </c>
      <c r="L8">
        <v>4</v>
      </c>
      <c r="M8" t="str" cm="1">
        <f t="array" ref="M8">_xlfn.IFS(Table1[[#This Row],[Age]]="", "Missing", Table1[[#This Row],[Age]]&lt;20, "Below 20", Table1[[#This Row],[Age]]&lt;30, "20-29", Table1[[#This Row],[Age]]&lt;40, "30-39", Table1[[#This Row],[Age]]&lt;50, "40-49", Table1[[#This Row],[Age]]&lt;60, "50-59", Table1[[#This Row],[Age]]&gt;=60, "60+")</f>
        <v>60+</v>
      </c>
      <c r="N8" t="str" cm="1">
        <f t="array" ref="N8">_xlfn.IFS(Table1[[#This Row],[Days_to_Activate]]&lt;=3, "Fast", Table1[[#This Row],[Days_to_Activate]]&lt;=7, "Moderate", Table1[[#This Row],[Days_to_Activate]]&lt;=14, "Slow", Table1[[#This Row],[Days_to_Activate]]&gt;14, "Outlier")</f>
        <v>Fast</v>
      </c>
    </row>
    <row r="9" spans="1:14" x14ac:dyDescent="0.25">
      <c r="A9" t="s">
        <v>32</v>
      </c>
      <c r="B9">
        <v>42</v>
      </c>
      <c r="C9" t="s">
        <v>22</v>
      </c>
      <c r="D9" t="s">
        <v>33</v>
      </c>
      <c r="E9" s="2">
        <v>46186</v>
      </c>
      <c r="F9" t="s">
        <v>16</v>
      </c>
      <c r="G9" t="s">
        <v>17</v>
      </c>
      <c r="H9">
        <v>5</v>
      </c>
      <c r="I9" t="s">
        <v>18</v>
      </c>
      <c r="J9" s="1">
        <v>7</v>
      </c>
      <c r="K9" s="3">
        <v>36764</v>
      </c>
      <c r="L9">
        <v>1</v>
      </c>
      <c r="M9" t="str" cm="1">
        <f t="array" ref="M9">_xlfn.IFS(Table1[[#This Row],[Age]]="", "Missing", Table1[[#This Row],[Age]]&lt;20, "Below 20", Table1[[#This Row],[Age]]&lt;30, "20-29", Table1[[#This Row],[Age]]&lt;40, "30-39", Table1[[#This Row],[Age]]&lt;50, "40-49", Table1[[#This Row],[Age]]&lt;60, "50-59", Table1[[#This Row],[Age]]&gt;=60, "60+")</f>
        <v>40-49</v>
      </c>
      <c r="N9" t="str" cm="1">
        <f t="array" ref="N9">_xlfn.IFS(Table1[[#This Row],[Days_to_Activate]]&lt;=3, "Fast", Table1[[#This Row],[Days_to_Activate]]&lt;=7, "Moderate", Table1[[#This Row],[Days_to_Activate]]&lt;=14, "Slow", Table1[[#This Row],[Days_to_Activate]]&gt;14, "Outlier")</f>
        <v>Moderate</v>
      </c>
    </row>
    <row r="10" spans="1:14" x14ac:dyDescent="0.25">
      <c r="A10" t="s">
        <v>34</v>
      </c>
      <c r="B10">
        <v>38</v>
      </c>
      <c r="C10" t="s">
        <v>22</v>
      </c>
      <c r="D10" t="s">
        <v>14</v>
      </c>
      <c r="E10" s="2">
        <v>46077</v>
      </c>
      <c r="F10" t="s">
        <v>36</v>
      </c>
      <c r="G10" t="s">
        <v>37</v>
      </c>
      <c r="I10" t="s">
        <v>18</v>
      </c>
      <c r="J10" s="1">
        <v>1</v>
      </c>
      <c r="K10" s="3">
        <v>9679</v>
      </c>
      <c r="L10">
        <v>4</v>
      </c>
      <c r="M10" t="str" cm="1">
        <f t="array" ref="M10">_xlfn.IFS(Table1[[#This Row],[Age]]="", "Missing", Table1[[#This Row],[Age]]&lt;20, "Below 20", Table1[[#This Row],[Age]]&lt;30, "20-29", Table1[[#This Row],[Age]]&lt;40, "30-39", Table1[[#This Row],[Age]]&lt;50, "40-49", Table1[[#This Row],[Age]]&lt;60, "50-59", Table1[[#This Row],[Age]]&gt;=60, "60+")</f>
        <v>30-39</v>
      </c>
      <c r="N10" t="str" cm="1">
        <f t="array" ref="N10">_xlfn.IFS(Table1[[#This Row],[Days_to_Activate]]&lt;=3, "Fast", Table1[[#This Row],[Days_to_Activate]]&lt;=7, "Moderate", Table1[[#This Row],[Days_to_Activate]]&lt;=14, "Slow", Table1[[#This Row],[Days_to_Activate]]&gt;14, "Outlier")</f>
        <v>Fast</v>
      </c>
    </row>
    <row r="11" spans="1:14" x14ac:dyDescent="0.25">
      <c r="A11" t="s">
        <v>38</v>
      </c>
      <c r="B11">
        <v>59</v>
      </c>
      <c r="C11" t="s">
        <v>22</v>
      </c>
      <c r="D11" t="s">
        <v>14</v>
      </c>
      <c r="E11" s="2">
        <v>46058</v>
      </c>
      <c r="F11" t="s">
        <v>16</v>
      </c>
      <c r="G11" t="s">
        <v>17</v>
      </c>
      <c r="H11" s="1">
        <v>5</v>
      </c>
      <c r="I11" t="s">
        <v>18</v>
      </c>
      <c r="J11" s="1">
        <v>54</v>
      </c>
      <c r="K11" s="3">
        <v>597240</v>
      </c>
      <c r="L11">
        <v>4</v>
      </c>
      <c r="M11" t="str" cm="1">
        <f t="array" ref="M11">_xlfn.IFS(Table1[[#This Row],[Age]]="", "Missing", Table1[[#This Row],[Age]]&lt;20, "Below 20", Table1[[#This Row],[Age]]&lt;30, "20-29", Table1[[#This Row],[Age]]&lt;40, "30-39", Table1[[#This Row],[Age]]&lt;50, "40-49", Table1[[#This Row],[Age]]&lt;60, "50-59", Table1[[#This Row],[Age]]&gt;=60, "60+")</f>
        <v>50-59</v>
      </c>
      <c r="N11" t="str" cm="1">
        <f t="array" ref="N11">_xlfn.IFS(Table1[[#This Row],[Days_to_Activate]]&lt;=3, "Fast", Table1[[#This Row],[Days_to_Activate]]&lt;=7, "Moderate", Table1[[#This Row],[Days_to_Activate]]&lt;=14, "Slow", Table1[[#This Row],[Days_to_Activate]]&gt;14, "Outlier")</f>
        <v>Moderate</v>
      </c>
    </row>
    <row r="12" spans="1:14" x14ac:dyDescent="0.25">
      <c r="A12" t="s">
        <v>40</v>
      </c>
      <c r="B12">
        <v>41</v>
      </c>
      <c r="C12" t="s">
        <v>13</v>
      </c>
      <c r="D12" t="s">
        <v>33</v>
      </c>
      <c r="E12" s="2">
        <v>46058</v>
      </c>
      <c r="F12" t="s">
        <v>16</v>
      </c>
      <c r="G12" t="s">
        <v>17</v>
      </c>
      <c r="H12">
        <v>0</v>
      </c>
      <c r="I12" t="s">
        <v>18</v>
      </c>
      <c r="J12" s="1">
        <v>19</v>
      </c>
      <c r="K12" s="3">
        <v>223820</v>
      </c>
      <c r="L12">
        <v>3</v>
      </c>
      <c r="M12" t="str" cm="1">
        <f t="array" ref="M12">_xlfn.IFS(Table1[[#This Row],[Age]]="", "Missing", Table1[[#This Row],[Age]]&lt;20, "Below 20", Table1[[#This Row],[Age]]&lt;30, "20-29", Table1[[#This Row],[Age]]&lt;40, "30-39", Table1[[#This Row],[Age]]&lt;50, "40-49", Table1[[#This Row],[Age]]&lt;60, "50-59", Table1[[#This Row],[Age]]&gt;=60, "60+")</f>
        <v>40-49</v>
      </c>
      <c r="N12" t="str" cm="1">
        <f t="array" ref="N12">_xlfn.IFS(Table1[[#This Row],[Days_to_Activate]]&lt;=3, "Fast", Table1[[#This Row],[Days_to_Activate]]&lt;=7, "Moderate", Table1[[#This Row],[Days_to_Activate]]&lt;=14, "Slow", Table1[[#This Row],[Days_to_Activate]]&gt;14, "Outlier")</f>
        <v>Fast</v>
      </c>
    </row>
    <row r="13" spans="1:14" x14ac:dyDescent="0.25">
      <c r="A13" t="s">
        <v>41</v>
      </c>
      <c r="B13">
        <v>45</v>
      </c>
      <c r="C13" t="s">
        <v>13</v>
      </c>
      <c r="D13" t="s">
        <v>14</v>
      </c>
      <c r="E13" s="2">
        <v>46175</v>
      </c>
      <c r="F13" t="s">
        <v>36</v>
      </c>
      <c r="G13" t="s">
        <v>37</v>
      </c>
      <c r="I13" t="s">
        <v>43</v>
      </c>
      <c r="J13" s="1">
        <v>0</v>
      </c>
      <c r="K13" s="3">
        <v>0</v>
      </c>
      <c r="L13">
        <v>3</v>
      </c>
      <c r="M13" t="str" cm="1">
        <f t="array" ref="M13">_xlfn.IFS(Table1[[#This Row],[Age]]="", "Missing", Table1[[#This Row],[Age]]&lt;20, "Below 20", Table1[[#This Row],[Age]]&lt;30, "20-29", Table1[[#This Row],[Age]]&lt;40, "30-39", Table1[[#This Row],[Age]]&lt;50, "40-49", Table1[[#This Row],[Age]]&lt;60, "50-59", Table1[[#This Row],[Age]]&gt;=60, "60+")</f>
        <v>40-49</v>
      </c>
      <c r="N13" t="str" cm="1">
        <f t="array" ref="N13">_xlfn.IFS(Table1[[#This Row],[Days_to_Activate]]&lt;=3, "Fast", Table1[[#This Row],[Days_to_Activate]]&lt;=7, "Moderate", Table1[[#This Row],[Days_to_Activate]]&lt;=14, "Slow", Table1[[#This Row],[Days_to_Activate]]&gt;14, "Outlier")</f>
        <v>Fast</v>
      </c>
    </row>
    <row r="14" spans="1:14" x14ac:dyDescent="0.25">
      <c r="A14" t="s">
        <v>44</v>
      </c>
      <c r="B14">
        <v>59</v>
      </c>
      <c r="C14" t="s">
        <v>22</v>
      </c>
      <c r="D14" t="s">
        <v>14</v>
      </c>
      <c r="E14" s="2">
        <v>46134</v>
      </c>
      <c r="F14" t="s">
        <v>16</v>
      </c>
      <c r="G14" t="s">
        <v>17</v>
      </c>
      <c r="H14">
        <v>11</v>
      </c>
      <c r="I14" t="s">
        <v>18</v>
      </c>
      <c r="J14" s="1">
        <v>33</v>
      </c>
      <c r="K14" s="3">
        <v>320133</v>
      </c>
      <c r="L14">
        <v>2</v>
      </c>
      <c r="M14" t="str" cm="1">
        <f t="array" ref="M14">_xlfn.IFS(Table1[[#This Row],[Age]]="", "Missing", Table1[[#This Row],[Age]]&lt;20, "Below 20", Table1[[#This Row],[Age]]&lt;30, "20-29", Table1[[#This Row],[Age]]&lt;40, "30-39", Table1[[#This Row],[Age]]&lt;50, "40-49", Table1[[#This Row],[Age]]&lt;60, "50-59", Table1[[#This Row],[Age]]&gt;=60, "60+")</f>
        <v>50-59</v>
      </c>
      <c r="N14" t="str" cm="1">
        <f t="array" ref="N14">_xlfn.IFS(Table1[[#This Row],[Days_to_Activate]]&lt;=3, "Fast", Table1[[#This Row],[Days_to_Activate]]&lt;=7, "Moderate", Table1[[#This Row],[Days_to_Activate]]&lt;=14, "Slow", Table1[[#This Row],[Days_to_Activate]]&gt;14, "Outlier")</f>
        <v>Slow</v>
      </c>
    </row>
    <row r="15" spans="1:14" x14ac:dyDescent="0.25">
      <c r="A15" t="s">
        <v>46</v>
      </c>
      <c r="B15">
        <v>50</v>
      </c>
      <c r="C15" t="s">
        <v>13</v>
      </c>
      <c r="D15" t="s">
        <v>28</v>
      </c>
      <c r="E15" s="2">
        <v>46099</v>
      </c>
      <c r="F15" t="s">
        <v>16</v>
      </c>
      <c r="G15" t="s">
        <v>17</v>
      </c>
      <c r="H15">
        <v>3</v>
      </c>
      <c r="I15" t="s">
        <v>20</v>
      </c>
      <c r="J15" s="1">
        <v>20</v>
      </c>
      <c r="K15" s="3">
        <v>206740</v>
      </c>
      <c r="L15">
        <v>5</v>
      </c>
      <c r="M15" t="str" cm="1">
        <f t="array" ref="M15">_xlfn.IFS(Table1[[#This Row],[Age]]="", "Missing", Table1[[#This Row],[Age]]&lt;20, "Below 20", Table1[[#This Row],[Age]]&lt;30, "20-29", Table1[[#This Row],[Age]]&lt;40, "30-39", Table1[[#This Row],[Age]]&lt;50, "40-49", Table1[[#This Row],[Age]]&lt;60, "50-59", Table1[[#This Row],[Age]]&gt;=60, "60+")</f>
        <v>50-59</v>
      </c>
      <c r="N15" t="str" cm="1">
        <f t="array" ref="N15">_xlfn.IFS(Table1[[#This Row],[Days_to_Activate]]&lt;=3, "Fast", Table1[[#This Row],[Days_to_Activate]]&lt;=7, "Moderate", Table1[[#This Row],[Days_to_Activate]]&lt;=14, "Slow", Table1[[#This Row],[Days_to_Activate]]&gt;14, "Outlier")</f>
        <v>Fast</v>
      </c>
    </row>
    <row r="16" spans="1:14" x14ac:dyDescent="0.25">
      <c r="A16" t="s">
        <v>48</v>
      </c>
      <c r="B16">
        <v>18</v>
      </c>
      <c r="C16" t="s">
        <v>22</v>
      </c>
      <c r="D16" t="s">
        <v>49</v>
      </c>
      <c r="E16" s="2">
        <v>46051</v>
      </c>
      <c r="F16" t="s">
        <v>36</v>
      </c>
      <c r="G16" t="s">
        <v>37</v>
      </c>
      <c r="I16" t="s">
        <v>18</v>
      </c>
      <c r="J16" s="1">
        <v>2</v>
      </c>
      <c r="K16" s="3">
        <v>10846</v>
      </c>
      <c r="L16">
        <v>1</v>
      </c>
      <c r="M16" t="str" cm="1">
        <f t="array" ref="M16">_xlfn.IFS(Table1[[#This Row],[Age]]="", "Missing", Table1[[#This Row],[Age]]&lt;20, "Below 20", Table1[[#This Row],[Age]]&lt;30, "20-29", Table1[[#This Row],[Age]]&lt;40, "30-39", Table1[[#This Row],[Age]]&lt;50, "40-49", Table1[[#This Row],[Age]]&lt;60, "50-59", Table1[[#This Row],[Age]]&gt;=60, "60+")</f>
        <v>Below 20</v>
      </c>
      <c r="N16" t="str" cm="1">
        <f t="array" ref="N16">_xlfn.IFS(Table1[[#This Row],[Days_to_Activate]]&lt;=3, "Fast", Table1[[#This Row],[Days_to_Activate]]&lt;=7, "Moderate", Table1[[#This Row],[Days_to_Activate]]&lt;=14, "Slow", Table1[[#This Row],[Days_to_Activate]]&gt;14, "Outlier")</f>
        <v>Fast</v>
      </c>
    </row>
    <row r="17" spans="1:14" x14ac:dyDescent="0.25">
      <c r="A17" t="s">
        <v>51</v>
      </c>
      <c r="B17">
        <v>33</v>
      </c>
      <c r="C17" t="s">
        <v>13</v>
      </c>
      <c r="D17" t="s">
        <v>14</v>
      </c>
      <c r="E17" s="2">
        <v>46147</v>
      </c>
      <c r="F17" t="s">
        <v>16</v>
      </c>
      <c r="G17" t="s">
        <v>37</v>
      </c>
      <c r="I17" t="s">
        <v>20</v>
      </c>
      <c r="J17" s="1">
        <v>1</v>
      </c>
      <c r="K17" s="3">
        <v>3603</v>
      </c>
      <c r="L17">
        <v>4</v>
      </c>
      <c r="M17" t="str" cm="1">
        <f t="array" ref="M17">_xlfn.IFS(Table1[[#This Row],[Age]]="", "Missing", Table1[[#This Row],[Age]]&lt;20, "Below 20", Table1[[#This Row],[Age]]&lt;30, "20-29", Table1[[#This Row],[Age]]&lt;40, "30-39", Table1[[#This Row],[Age]]&lt;50, "40-49", Table1[[#This Row],[Age]]&lt;60, "50-59", Table1[[#This Row],[Age]]&gt;=60, "60+")</f>
        <v>30-39</v>
      </c>
      <c r="N17" t="str" cm="1">
        <f t="array" ref="N17">_xlfn.IFS(Table1[[#This Row],[Days_to_Activate]]&lt;=3, "Fast", Table1[[#This Row],[Days_to_Activate]]&lt;=7, "Moderate", Table1[[#This Row],[Days_to_Activate]]&lt;=14, "Slow", Table1[[#This Row],[Days_to_Activate]]&gt;14, "Outlier")</f>
        <v>Fast</v>
      </c>
    </row>
    <row r="18" spans="1:14" x14ac:dyDescent="0.25">
      <c r="A18" t="s">
        <v>53</v>
      </c>
      <c r="B18">
        <v>53</v>
      </c>
      <c r="C18" t="s">
        <v>13</v>
      </c>
      <c r="D18" t="s">
        <v>14</v>
      </c>
      <c r="E18" s="2">
        <v>46178</v>
      </c>
      <c r="F18" t="s">
        <v>16</v>
      </c>
      <c r="G18" t="s">
        <v>17</v>
      </c>
      <c r="H18">
        <v>8</v>
      </c>
      <c r="I18" t="s">
        <v>18</v>
      </c>
      <c r="J18" s="1">
        <v>25</v>
      </c>
      <c r="K18" s="3">
        <v>165175</v>
      </c>
      <c r="L18">
        <v>4</v>
      </c>
      <c r="M18" t="str" cm="1">
        <f t="array" ref="M18">_xlfn.IFS(Table1[[#This Row],[Age]]="", "Missing", Table1[[#This Row],[Age]]&lt;20, "Below 20", Table1[[#This Row],[Age]]&lt;30, "20-29", Table1[[#This Row],[Age]]&lt;40, "30-39", Table1[[#This Row],[Age]]&lt;50, "40-49", Table1[[#This Row],[Age]]&lt;60, "50-59", Table1[[#This Row],[Age]]&gt;=60, "60+")</f>
        <v>50-59</v>
      </c>
      <c r="N18" t="str" cm="1">
        <f t="array" ref="N18">_xlfn.IFS(Table1[[#This Row],[Days_to_Activate]]&lt;=3, "Fast", Table1[[#This Row],[Days_to_Activate]]&lt;=7, "Moderate", Table1[[#This Row],[Days_to_Activate]]&lt;=14, "Slow", Table1[[#This Row],[Days_to_Activate]]&gt;14, "Outlier")</f>
        <v>Slow</v>
      </c>
    </row>
    <row r="19" spans="1:14" x14ac:dyDescent="0.25">
      <c r="A19" t="s">
        <v>54</v>
      </c>
      <c r="B19">
        <v>60</v>
      </c>
      <c r="C19" t="s">
        <v>22</v>
      </c>
      <c r="D19" t="s">
        <v>49</v>
      </c>
      <c r="E19" s="2">
        <v>46155</v>
      </c>
      <c r="F19" t="s">
        <v>16</v>
      </c>
      <c r="G19" t="s">
        <v>17</v>
      </c>
      <c r="H19">
        <v>1</v>
      </c>
      <c r="I19" t="s">
        <v>20</v>
      </c>
      <c r="J19" s="1">
        <v>75</v>
      </c>
      <c r="K19" s="3">
        <v>793125</v>
      </c>
      <c r="L19">
        <v>3</v>
      </c>
      <c r="M19" t="str" cm="1">
        <f t="array" ref="M19">_xlfn.IFS(Table1[[#This Row],[Age]]="", "Missing", Table1[[#This Row],[Age]]&lt;20, "Below 20", Table1[[#This Row],[Age]]&lt;30, "20-29", Table1[[#This Row],[Age]]&lt;40, "30-39", Table1[[#This Row],[Age]]&lt;50, "40-49", Table1[[#This Row],[Age]]&lt;60, "50-59", Table1[[#This Row],[Age]]&gt;=60, "60+")</f>
        <v>60+</v>
      </c>
      <c r="N19" t="str" cm="1">
        <f t="array" ref="N19">_xlfn.IFS(Table1[[#This Row],[Days_to_Activate]]&lt;=3, "Fast", Table1[[#This Row],[Days_to_Activate]]&lt;=7, "Moderate", Table1[[#This Row],[Days_to_Activate]]&lt;=14, "Slow", Table1[[#This Row],[Days_to_Activate]]&gt;14, "Outlier")</f>
        <v>Fast</v>
      </c>
    </row>
    <row r="20" spans="1:14" x14ac:dyDescent="0.25">
      <c r="A20" t="s">
        <v>56</v>
      </c>
      <c r="B20">
        <v>55</v>
      </c>
      <c r="C20" t="s">
        <v>13</v>
      </c>
      <c r="D20" t="s">
        <v>14</v>
      </c>
      <c r="E20" s="2">
        <v>46184</v>
      </c>
      <c r="F20" t="s">
        <v>16</v>
      </c>
      <c r="G20" t="s">
        <v>17</v>
      </c>
      <c r="H20">
        <v>0</v>
      </c>
      <c r="I20" t="s">
        <v>18</v>
      </c>
      <c r="J20" s="1">
        <v>9</v>
      </c>
      <c r="K20" s="3">
        <v>89307</v>
      </c>
      <c r="L20">
        <v>3</v>
      </c>
      <c r="M20" t="str" cm="1">
        <f t="array" ref="M20">_xlfn.IFS(Table1[[#This Row],[Age]]="", "Missing", Table1[[#This Row],[Age]]&lt;20, "Below 20", Table1[[#This Row],[Age]]&lt;30, "20-29", Table1[[#This Row],[Age]]&lt;40, "30-39", Table1[[#This Row],[Age]]&lt;50, "40-49", Table1[[#This Row],[Age]]&lt;60, "50-59", Table1[[#This Row],[Age]]&gt;=60, "60+")</f>
        <v>50-59</v>
      </c>
      <c r="N20" t="str" cm="1">
        <f t="array" ref="N20">_xlfn.IFS(Table1[[#This Row],[Days_to_Activate]]&lt;=3, "Fast", Table1[[#This Row],[Days_to_Activate]]&lt;=7, "Moderate", Table1[[#This Row],[Days_to_Activate]]&lt;=14, "Slow", Table1[[#This Row],[Days_to_Activate]]&gt;14, "Outlier")</f>
        <v>Fast</v>
      </c>
    </row>
    <row r="21" spans="1:14" x14ac:dyDescent="0.25">
      <c r="A21" t="s">
        <v>58</v>
      </c>
      <c r="B21">
        <v>35</v>
      </c>
      <c r="C21" t="s">
        <v>22</v>
      </c>
      <c r="D21" t="s">
        <v>14</v>
      </c>
      <c r="E21" s="2">
        <v>46056</v>
      </c>
      <c r="F21" t="s">
        <v>16</v>
      </c>
      <c r="G21" t="s">
        <v>37</v>
      </c>
      <c r="I21" t="s">
        <v>20</v>
      </c>
      <c r="J21" s="1">
        <v>1</v>
      </c>
      <c r="K21" s="3">
        <v>9249</v>
      </c>
      <c r="L21">
        <v>4</v>
      </c>
      <c r="M21" t="str" cm="1">
        <f t="array" ref="M21">_xlfn.IFS(Table1[[#This Row],[Age]]="", "Missing", Table1[[#This Row],[Age]]&lt;20, "Below 20", Table1[[#This Row],[Age]]&lt;30, "20-29", Table1[[#This Row],[Age]]&lt;40, "30-39", Table1[[#This Row],[Age]]&lt;50, "40-49", Table1[[#This Row],[Age]]&lt;60, "50-59", Table1[[#This Row],[Age]]&gt;=60, "60+")</f>
        <v>30-39</v>
      </c>
      <c r="N21" t="str" cm="1">
        <f t="array" ref="N21">_xlfn.IFS(Table1[[#This Row],[Days_to_Activate]]&lt;=3, "Fast", Table1[[#This Row],[Days_to_Activate]]&lt;=7, "Moderate", Table1[[#This Row],[Days_to_Activate]]&lt;=14, "Slow", Table1[[#This Row],[Days_to_Activate]]&gt;14, "Outlier")</f>
        <v>Fast</v>
      </c>
    </row>
    <row r="22" spans="1:14" x14ac:dyDescent="0.25">
      <c r="A22" t="s">
        <v>60</v>
      </c>
      <c r="B22">
        <v>30</v>
      </c>
      <c r="C22" t="s">
        <v>13</v>
      </c>
      <c r="D22" t="s">
        <v>14</v>
      </c>
      <c r="E22" s="2">
        <v>46133</v>
      </c>
      <c r="F22" t="s">
        <v>16</v>
      </c>
      <c r="G22" t="s">
        <v>17</v>
      </c>
      <c r="H22">
        <v>13</v>
      </c>
      <c r="I22" t="s">
        <v>18</v>
      </c>
      <c r="J22" s="1">
        <v>12</v>
      </c>
      <c r="K22" s="3">
        <v>29916</v>
      </c>
      <c r="L22">
        <v>4</v>
      </c>
      <c r="M22" t="str" cm="1">
        <f t="array" ref="M22">_xlfn.IFS(Table1[[#This Row],[Age]]="", "Missing", Table1[[#This Row],[Age]]&lt;20, "Below 20", Table1[[#This Row],[Age]]&lt;30, "20-29", Table1[[#This Row],[Age]]&lt;40, "30-39", Table1[[#This Row],[Age]]&lt;50, "40-49", Table1[[#This Row],[Age]]&lt;60, "50-59", Table1[[#This Row],[Age]]&gt;=60, "60+")</f>
        <v>30-39</v>
      </c>
      <c r="N22" t="str" cm="1">
        <f t="array" ref="N22">_xlfn.IFS(Table1[[#This Row],[Days_to_Activate]]&lt;=3, "Fast", Table1[[#This Row],[Days_to_Activate]]&lt;=7, "Moderate", Table1[[#This Row],[Days_to_Activate]]&lt;=14, "Slow", Table1[[#This Row],[Days_to_Activate]]&gt;14, "Outlier")</f>
        <v>Slow</v>
      </c>
    </row>
    <row r="23" spans="1:14" x14ac:dyDescent="0.25">
      <c r="A23" t="s">
        <v>61</v>
      </c>
      <c r="B23">
        <v>39</v>
      </c>
      <c r="C23" t="s">
        <v>13</v>
      </c>
      <c r="D23" t="s">
        <v>14</v>
      </c>
      <c r="E23" s="2">
        <v>46071</v>
      </c>
      <c r="F23" t="s">
        <v>16</v>
      </c>
      <c r="G23" t="s">
        <v>17</v>
      </c>
      <c r="H23">
        <v>2</v>
      </c>
      <c r="I23" t="s">
        <v>20</v>
      </c>
      <c r="J23" s="1">
        <v>31</v>
      </c>
      <c r="K23" s="3">
        <v>84785</v>
      </c>
      <c r="L23">
        <v>4</v>
      </c>
      <c r="M23" t="str" cm="1">
        <f t="array" ref="M23">_xlfn.IFS(Table1[[#This Row],[Age]]="", "Missing", Table1[[#This Row],[Age]]&lt;20, "Below 20", Table1[[#This Row],[Age]]&lt;30, "20-29", Table1[[#This Row],[Age]]&lt;40, "30-39", Table1[[#This Row],[Age]]&lt;50, "40-49", Table1[[#This Row],[Age]]&lt;60, "50-59", Table1[[#This Row],[Age]]&gt;=60, "60+")</f>
        <v>30-39</v>
      </c>
      <c r="N23" t="str" cm="1">
        <f t="array" ref="N23">_xlfn.IFS(Table1[[#This Row],[Days_to_Activate]]&lt;=3, "Fast", Table1[[#This Row],[Days_to_Activate]]&lt;=7, "Moderate", Table1[[#This Row],[Days_to_Activate]]&lt;=14, "Slow", Table1[[#This Row],[Days_to_Activate]]&gt;14, "Outlier")</f>
        <v>Fast</v>
      </c>
    </row>
    <row r="24" spans="1:14" x14ac:dyDescent="0.25">
      <c r="A24" t="s">
        <v>63</v>
      </c>
      <c r="B24">
        <v>53</v>
      </c>
      <c r="C24" t="s">
        <v>13</v>
      </c>
      <c r="D24" t="s">
        <v>14</v>
      </c>
      <c r="E24" s="2">
        <v>46161</v>
      </c>
      <c r="F24" t="s">
        <v>16</v>
      </c>
      <c r="G24" t="s">
        <v>37</v>
      </c>
      <c r="I24" t="s">
        <v>43</v>
      </c>
      <c r="J24" s="1">
        <v>1</v>
      </c>
      <c r="K24" s="3">
        <v>4224</v>
      </c>
      <c r="L24">
        <v>4</v>
      </c>
      <c r="M24" t="str" cm="1">
        <f t="array" ref="M24">_xlfn.IFS(Table1[[#This Row],[Age]]="", "Missing", Table1[[#This Row],[Age]]&lt;20, "Below 20", Table1[[#This Row],[Age]]&lt;30, "20-29", Table1[[#This Row],[Age]]&lt;40, "30-39", Table1[[#This Row],[Age]]&lt;50, "40-49", Table1[[#This Row],[Age]]&lt;60, "50-59", Table1[[#This Row],[Age]]&gt;=60, "60+")</f>
        <v>50-59</v>
      </c>
      <c r="N24" t="str" cm="1">
        <f t="array" ref="N24">_xlfn.IFS(Table1[[#This Row],[Days_to_Activate]]&lt;=3, "Fast", Table1[[#This Row],[Days_to_Activate]]&lt;=7, "Moderate", Table1[[#This Row],[Days_to_Activate]]&lt;=14, "Slow", Table1[[#This Row],[Days_to_Activate]]&gt;14, "Outlier")</f>
        <v>Fast</v>
      </c>
    </row>
    <row r="25" spans="1:14" x14ac:dyDescent="0.25">
      <c r="A25" t="s">
        <v>65</v>
      </c>
      <c r="B25">
        <v>49</v>
      </c>
      <c r="C25" t="s">
        <v>22</v>
      </c>
      <c r="D25" t="s">
        <v>14</v>
      </c>
      <c r="E25" s="2">
        <v>46125</v>
      </c>
      <c r="F25" t="s">
        <v>36</v>
      </c>
      <c r="G25" t="s">
        <v>37</v>
      </c>
      <c r="I25" t="s">
        <v>20</v>
      </c>
      <c r="J25" s="1">
        <v>3</v>
      </c>
      <c r="K25" s="3">
        <v>17535</v>
      </c>
      <c r="L25">
        <v>4</v>
      </c>
      <c r="M25" t="str" cm="1">
        <f t="array" ref="M25">_xlfn.IFS(Table1[[#This Row],[Age]]="", "Missing", Table1[[#This Row],[Age]]&lt;20, "Below 20", Table1[[#This Row],[Age]]&lt;30, "20-29", Table1[[#This Row],[Age]]&lt;40, "30-39", Table1[[#This Row],[Age]]&lt;50, "40-49", Table1[[#This Row],[Age]]&lt;60, "50-59", Table1[[#This Row],[Age]]&gt;=60, "60+")</f>
        <v>40-49</v>
      </c>
      <c r="N25" t="str" cm="1">
        <f t="array" ref="N25">_xlfn.IFS(Table1[[#This Row],[Days_to_Activate]]&lt;=3, "Fast", Table1[[#This Row],[Days_to_Activate]]&lt;=7, "Moderate", Table1[[#This Row],[Days_to_Activate]]&lt;=14, "Slow", Table1[[#This Row],[Days_to_Activate]]&gt;14, "Outlier")</f>
        <v>Fast</v>
      </c>
    </row>
    <row r="26" spans="1:14" x14ac:dyDescent="0.25">
      <c r="A26" t="s">
        <v>67</v>
      </c>
      <c r="C26" t="s">
        <v>22</v>
      </c>
      <c r="D26" t="s">
        <v>30</v>
      </c>
      <c r="E26" s="2">
        <v>46165</v>
      </c>
      <c r="F26" t="s">
        <v>16</v>
      </c>
      <c r="G26" t="s">
        <v>17</v>
      </c>
      <c r="H26">
        <v>3</v>
      </c>
      <c r="I26" t="s">
        <v>20</v>
      </c>
      <c r="J26" s="1">
        <v>7</v>
      </c>
      <c r="K26" s="3">
        <v>76923</v>
      </c>
      <c r="L26">
        <v>5</v>
      </c>
      <c r="M26" t="str" cm="1">
        <f t="array" ref="M26">_xlfn.IFS(Table1[[#This Row],[Age]]="", "Missing", Table1[[#This Row],[Age]]&lt;20, "Below 20", Table1[[#This Row],[Age]]&lt;30, "20-29", Table1[[#This Row],[Age]]&lt;40, "30-39", Table1[[#This Row],[Age]]&lt;50, "40-49", Table1[[#This Row],[Age]]&lt;60, "50-59", Table1[[#This Row],[Age]]&gt;=60, "60+")</f>
        <v>Missing</v>
      </c>
      <c r="N26" t="str" cm="1">
        <f t="array" ref="N26">_xlfn.IFS(Table1[[#This Row],[Days_to_Activate]]&lt;=3, "Fast", Table1[[#This Row],[Days_to_Activate]]&lt;=7, "Moderate", Table1[[#This Row],[Days_to_Activate]]&lt;=14, "Slow", Table1[[#This Row],[Days_to_Activate]]&gt;14, "Outlier")</f>
        <v>Fast</v>
      </c>
    </row>
    <row r="27" spans="1:14" x14ac:dyDescent="0.25">
      <c r="A27" t="s">
        <v>69</v>
      </c>
      <c r="B27">
        <v>52</v>
      </c>
      <c r="C27" t="s">
        <v>13</v>
      </c>
      <c r="D27" t="s">
        <v>30</v>
      </c>
      <c r="E27" s="2">
        <v>46037</v>
      </c>
      <c r="F27" t="s">
        <v>16</v>
      </c>
      <c r="G27" t="s">
        <v>17</v>
      </c>
      <c r="H27">
        <v>14</v>
      </c>
      <c r="I27" t="s">
        <v>18</v>
      </c>
      <c r="J27" s="1">
        <v>20</v>
      </c>
      <c r="K27" s="3">
        <v>48620</v>
      </c>
      <c r="L27">
        <v>1</v>
      </c>
      <c r="M27" t="str" cm="1">
        <f t="array" ref="M27">_xlfn.IFS(Table1[[#This Row],[Age]]="", "Missing", Table1[[#This Row],[Age]]&lt;20, "Below 20", Table1[[#This Row],[Age]]&lt;30, "20-29", Table1[[#This Row],[Age]]&lt;40, "30-39", Table1[[#This Row],[Age]]&lt;50, "40-49", Table1[[#This Row],[Age]]&lt;60, "50-59", Table1[[#This Row],[Age]]&gt;=60, "60+")</f>
        <v>50-59</v>
      </c>
      <c r="N27" t="str" cm="1">
        <f t="array" ref="N27">_xlfn.IFS(Table1[[#This Row],[Days_to_Activate]]&lt;=3, "Fast", Table1[[#This Row],[Days_to_Activate]]&lt;=7, "Moderate", Table1[[#This Row],[Days_to_Activate]]&lt;=14, "Slow", Table1[[#This Row],[Days_to_Activate]]&gt;14, "Outlier")</f>
        <v>Slow</v>
      </c>
    </row>
    <row r="28" spans="1:14" x14ac:dyDescent="0.25">
      <c r="A28" t="s">
        <v>71</v>
      </c>
      <c r="B28">
        <v>29</v>
      </c>
      <c r="C28" t="s">
        <v>13</v>
      </c>
      <c r="D28" t="s">
        <v>26</v>
      </c>
      <c r="E28" s="2">
        <v>46195</v>
      </c>
      <c r="F28" t="s">
        <v>36</v>
      </c>
      <c r="G28" t="s">
        <v>37</v>
      </c>
      <c r="I28" t="s">
        <v>43</v>
      </c>
      <c r="J28" s="1">
        <v>4</v>
      </c>
      <c r="K28" s="3">
        <v>22132</v>
      </c>
      <c r="L28">
        <v>1</v>
      </c>
      <c r="M28" t="str" cm="1">
        <f t="array" ref="M28">_xlfn.IFS(Table1[[#This Row],[Age]]="", "Missing", Table1[[#This Row],[Age]]&lt;20, "Below 20", Table1[[#This Row],[Age]]&lt;30, "20-29", Table1[[#This Row],[Age]]&lt;40, "30-39", Table1[[#This Row],[Age]]&lt;50, "40-49", Table1[[#This Row],[Age]]&lt;60, "50-59", Table1[[#This Row],[Age]]&gt;=60, "60+")</f>
        <v>20-29</v>
      </c>
      <c r="N28" t="str" cm="1">
        <f t="array" ref="N28">_xlfn.IFS(Table1[[#This Row],[Days_to_Activate]]&lt;=3, "Fast", Table1[[#This Row],[Days_to_Activate]]&lt;=7, "Moderate", Table1[[#This Row],[Days_to_Activate]]&lt;=14, "Slow", Table1[[#This Row],[Days_to_Activate]]&gt;14, "Outlier")</f>
        <v>Fast</v>
      </c>
    </row>
    <row r="29" spans="1:14" x14ac:dyDescent="0.25">
      <c r="A29" t="s">
        <v>73</v>
      </c>
      <c r="B29">
        <v>57</v>
      </c>
      <c r="C29" t="s">
        <v>13</v>
      </c>
      <c r="D29" t="s">
        <v>49</v>
      </c>
      <c r="E29" s="2">
        <v>46172</v>
      </c>
      <c r="F29" t="s">
        <v>16</v>
      </c>
      <c r="G29" t="s">
        <v>17</v>
      </c>
      <c r="H29">
        <v>4</v>
      </c>
      <c r="I29" t="s">
        <v>20</v>
      </c>
      <c r="J29" s="1">
        <v>40</v>
      </c>
      <c r="K29" s="3">
        <v>216400</v>
      </c>
      <c r="L29">
        <v>3</v>
      </c>
      <c r="M29" t="str" cm="1">
        <f t="array" ref="M29">_xlfn.IFS(Table1[[#This Row],[Age]]="", "Missing", Table1[[#This Row],[Age]]&lt;20, "Below 20", Table1[[#This Row],[Age]]&lt;30, "20-29", Table1[[#This Row],[Age]]&lt;40, "30-39", Table1[[#This Row],[Age]]&lt;50, "40-49", Table1[[#This Row],[Age]]&lt;60, "50-59", Table1[[#This Row],[Age]]&gt;=60, "60+")</f>
        <v>50-59</v>
      </c>
      <c r="N29" t="str" cm="1">
        <f t="array" ref="N29">_xlfn.IFS(Table1[[#This Row],[Days_to_Activate]]&lt;=3, "Fast", Table1[[#This Row],[Days_to_Activate]]&lt;=7, "Moderate", Table1[[#This Row],[Days_to_Activate]]&lt;=14, "Slow", Table1[[#This Row],[Days_to_Activate]]&gt;14, "Outlier")</f>
        <v>Moderate</v>
      </c>
    </row>
    <row r="30" spans="1:14" x14ac:dyDescent="0.25">
      <c r="A30" t="s">
        <v>74</v>
      </c>
      <c r="B30">
        <v>43</v>
      </c>
      <c r="C30" t="s">
        <v>13</v>
      </c>
      <c r="D30" t="s">
        <v>30</v>
      </c>
      <c r="E30" s="2">
        <v>46099</v>
      </c>
      <c r="F30" t="s">
        <v>16</v>
      </c>
      <c r="G30" t="s">
        <v>37</v>
      </c>
      <c r="I30" t="s">
        <v>43</v>
      </c>
      <c r="J30" s="1">
        <v>0</v>
      </c>
      <c r="K30" s="3">
        <v>0</v>
      </c>
      <c r="L30">
        <v>1</v>
      </c>
      <c r="M30" t="str" cm="1">
        <f t="array" ref="M30">_xlfn.IFS(Table1[[#This Row],[Age]]="", "Missing", Table1[[#This Row],[Age]]&lt;20, "Below 20", Table1[[#This Row],[Age]]&lt;30, "20-29", Table1[[#This Row],[Age]]&lt;40, "30-39", Table1[[#This Row],[Age]]&lt;50, "40-49", Table1[[#This Row],[Age]]&lt;60, "50-59", Table1[[#This Row],[Age]]&gt;=60, "60+")</f>
        <v>40-49</v>
      </c>
      <c r="N30" t="str" cm="1">
        <f t="array" ref="N30">_xlfn.IFS(Table1[[#This Row],[Days_to_Activate]]&lt;=3, "Fast", Table1[[#This Row],[Days_to_Activate]]&lt;=7, "Moderate", Table1[[#This Row],[Days_to_Activate]]&lt;=14, "Slow", Table1[[#This Row],[Days_to_Activate]]&gt;14, "Outlier")</f>
        <v>Fast</v>
      </c>
    </row>
    <row r="31" spans="1:14" x14ac:dyDescent="0.25">
      <c r="A31" t="s">
        <v>75</v>
      </c>
      <c r="B31">
        <v>22</v>
      </c>
      <c r="C31" t="s">
        <v>13</v>
      </c>
      <c r="D31" t="s">
        <v>49</v>
      </c>
      <c r="E31" s="2">
        <v>46056</v>
      </c>
      <c r="F31" t="s">
        <v>36</v>
      </c>
      <c r="G31" t="s">
        <v>37</v>
      </c>
      <c r="I31" t="s">
        <v>18</v>
      </c>
      <c r="J31" s="1">
        <v>2</v>
      </c>
      <c r="K31" s="3">
        <v>12338</v>
      </c>
      <c r="L31">
        <v>2</v>
      </c>
      <c r="M31" t="str" cm="1">
        <f t="array" ref="M31">_xlfn.IFS(Table1[[#This Row],[Age]]="", "Missing", Table1[[#This Row],[Age]]&lt;20, "Below 20", Table1[[#This Row],[Age]]&lt;30, "20-29", Table1[[#This Row],[Age]]&lt;40, "30-39", Table1[[#This Row],[Age]]&lt;50, "40-49", Table1[[#This Row],[Age]]&lt;60, "50-59", Table1[[#This Row],[Age]]&gt;=60, "60+")</f>
        <v>20-29</v>
      </c>
      <c r="N31" t="str" cm="1">
        <f t="array" ref="N31">_xlfn.IFS(Table1[[#This Row],[Days_to_Activate]]&lt;=3, "Fast", Table1[[#This Row],[Days_to_Activate]]&lt;=7, "Moderate", Table1[[#This Row],[Days_to_Activate]]&lt;=14, "Slow", Table1[[#This Row],[Days_to_Activate]]&gt;14, "Outlier")</f>
        <v>Fast</v>
      </c>
    </row>
    <row r="32" spans="1:14" x14ac:dyDescent="0.25">
      <c r="A32" t="s">
        <v>76</v>
      </c>
      <c r="B32">
        <v>46</v>
      </c>
      <c r="C32" t="s">
        <v>22</v>
      </c>
      <c r="D32" t="s">
        <v>26</v>
      </c>
      <c r="E32" s="2">
        <v>46190</v>
      </c>
      <c r="F32" t="s">
        <v>16</v>
      </c>
      <c r="G32" t="s">
        <v>17</v>
      </c>
      <c r="H32">
        <v>8</v>
      </c>
      <c r="I32" t="s">
        <v>20</v>
      </c>
      <c r="J32" s="1">
        <v>13</v>
      </c>
      <c r="K32" s="3">
        <v>48100</v>
      </c>
      <c r="L32">
        <v>3</v>
      </c>
      <c r="M32" t="str" cm="1">
        <f t="array" ref="M32">_xlfn.IFS(Table1[[#This Row],[Age]]="", "Missing", Table1[[#This Row],[Age]]&lt;20, "Below 20", Table1[[#This Row],[Age]]&lt;30, "20-29", Table1[[#This Row],[Age]]&lt;40, "30-39", Table1[[#This Row],[Age]]&lt;50, "40-49", Table1[[#This Row],[Age]]&lt;60, "50-59", Table1[[#This Row],[Age]]&gt;=60, "60+")</f>
        <v>40-49</v>
      </c>
      <c r="N32" t="str" cm="1">
        <f t="array" ref="N32">_xlfn.IFS(Table1[[#This Row],[Days_to_Activate]]&lt;=3, "Fast", Table1[[#This Row],[Days_to_Activate]]&lt;=7, "Moderate", Table1[[#This Row],[Days_to_Activate]]&lt;=14, "Slow", Table1[[#This Row],[Days_to_Activate]]&gt;14, "Outlier")</f>
        <v>Slow</v>
      </c>
    </row>
    <row r="33" spans="1:14" x14ac:dyDescent="0.25">
      <c r="A33" t="s">
        <v>78</v>
      </c>
      <c r="B33">
        <v>25</v>
      </c>
      <c r="C33" t="s">
        <v>13</v>
      </c>
      <c r="D33" t="s">
        <v>30</v>
      </c>
      <c r="E33" s="2">
        <v>46062</v>
      </c>
      <c r="F33" t="s">
        <v>16</v>
      </c>
      <c r="G33" t="s">
        <v>17</v>
      </c>
      <c r="H33">
        <v>11</v>
      </c>
      <c r="I33" t="s">
        <v>20</v>
      </c>
      <c r="J33" s="1">
        <v>33</v>
      </c>
      <c r="K33" s="3">
        <v>322740</v>
      </c>
      <c r="L33">
        <v>4</v>
      </c>
      <c r="M33" t="str" cm="1">
        <f t="array" ref="M33">_xlfn.IFS(Table1[[#This Row],[Age]]="", "Missing", Table1[[#This Row],[Age]]&lt;20, "Below 20", Table1[[#This Row],[Age]]&lt;30, "20-29", Table1[[#This Row],[Age]]&lt;40, "30-39", Table1[[#This Row],[Age]]&lt;50, "40-49", Table1[[#This Row],[Age]]&lt;60, "50-59", Table1[[#This Row],[Age]]&gt;=60, "60+")</f>
        <v>20-29</v>
      </c>
      <c r="N33" t="str" cm="1">
        <f t="array" ref="N33">_xlfn.IFS(Table1[[#This Row],[Days_to_Activate]]&lt;=3, "Fast", Table1[[#This Row],[Days_to_Activate]]&lt;=7, "Moderate", Table1[[#This Row],[Days_to_Activate]]&lt;=14, "Slow", Table1[[#This Row],[Days_to_Activate]]&gt;14, "Outlier")</f>
        <v>Slow</v>
      </c>
    </row>
    <row r="34" spans="1:14" x14ac:dyDescent="0.25">
      <c r="A34" t="s">
        <v>79</v>
      </c>
      <c r="B34">
        <v>34</v>
      </c>
      <c r="C34" t="s">
        <v>13</v>
      </c>
      <c r="D34" t="s">
        <v>14</v>
      </c>
      <c r="E34" s="2">
        <v>46131</v>
      </c>
      <c r="F34" t="s">
        <v>16</v>
      </c>
      <c r="G34" t="s">
        <v>17</v>
      </c>
      <c r="H34">
        <v>5</v>
      </c>
      <c r="I34" t="s">
        <v>18</v>
      </c>
      <c r="J34" s="1">
        <v>33</v>
      </c>
      <c r="K34" s="3">
        <v>136851</v>
      </c>
      <c r="L34">
        <v>4</v>
      </c>
      <c r="M34" t="str" cm="1">
        <f t="array" ref="M34">_xlfn.IFS(Table1[[#This Row],[Age]]="", "Missing", Table1[[#This Row],[Age]]&lt;20, "Below 20", Table1[[#This Row],[Age]]&lt;30, "20-29", Table1[[#This Row],[Age]]&lt;40, "30-39", Table1[[#This Row],[Age]]&lt;50, "40-49", Table1[[#This Row],[Age]]&lt;60, "50-59", Table1[[#This Row],[Age]]&gt;=60, "60+")</f>
        <v>30-39</v>
      </c>
      <c r="N34" t="str" cm="1">
        <f t="array" ref="N34">_xlfn.IFS(Table1[[#This Row],[Days_to_Activate]]&lt;=3, "Fast", Table1[[#This Row],[Days_to_Activate]]&lt;=7, "Moderate", Table1[[#This Row],[Days_to_Activate]]&lt;=14, "Slow", Table1[[#This Row],[Days_to_Activate]]&gt;14, "Outlier")</f>
        <v>Moderate</v>
      </c>
    </row>
    <row r="35" spans="1:14" x14ac:dyDescent="0.25">
      <c r="A35" t="s">
        <v>80</v>
      </c>
      <c r="B35">
        <v>53</v>
      </c>
      <c r="C35" t="s">
        <v>22</v>
      </c>
      <c r="D35" t="s">
        <v>26</v>
      </c>
      <c r="E35" s="2">
        <v>46051</v>
      </c>
      <c r="F35" t="s">
        <v>16</v>
      </c>
      <c r="G35" t="s">
        <v>37</v>
      </c>
      <c r="I35" t="s">
        <v>43</v>
      </c>
      <c r="J35" s="1">
        <v>4</v>
      </c>
      <c r="K35" s="3">
        <v>8360</v>
      </c>
      <c r="L35">
        <v>3</v>
      </c>
      <c r="M35" t="str" cm="1">
        <f t="array" ref="M35">_xlfn.IFS(Table1[[#This Row],[Age]]="", "Missing", Table1[[#This Row],[Age]]&lt;20, "Below 20", Table1[[#This Row],[Age]]&lt;30, "20-29", Table1[[#This Row],[Age]]&lt;40, "30-39", Table1[[#This Row],[Age]]&lt;50, "40-49", Table1[[#This Row],[Age]]&lt;60, "50-59", Table1[[#This Row],[Age]]&gt;=60, "60+")</f>
        <v>50-59</v>
      </c>
      <c r="N35" t="str" cm="1">
        <f t="array" ref="N35">_xlfn.IFS(Table1[[#This Row],[Days_to_Activate]]&lt;=3, "Fast", Table1[[#This Row],[Days_to_Activate]]&lt;=7, "Moderate", Table1[[#This Row],[Days_to_Activate]]&lt;=14, "Slow", Table1[[#This Row],[Days_to_Activate]]&gt;14, "Outlier")</f>
        <v>Fast</v>
      </c>
    </row>
    <row r="36" spans="1:14" x14ac:dyDescent="0.25">
      <c r="A36" t="s">
        <v>81</v>
      </c>
      <c r="B36">
        <v>55</v>
      </c>
      <c r="C36" t="s">
        <v>13</v>
      </c>
      <c r="D36" t="s">
        <v>49</v>
      </c>
      <c r="E36" s="2">
        <v>46033</v>
      </c>
      <c r="F36" t="s">
        <v>16</v>
      </c>
      <c r="G36" t="s">
        <v>37</v>
      </c>
      <c r="I36" t="s">
        <v>18</v>
      </c>
      <c r="J36" s="1">
        <v>0</v>
      </c>
      <c r="K36" s="3">
        <v>0</v>
      </c>
      <c r="L36">
        <v>2</v>
      </c>
      <c r="M36" t="str" cm="1">
        <f t="array" ref="M36">_xlfn.IFS(Table1[[#This Row],[Age]]="", "Missing", Table1[[#This Row],[Age]]&lt;20, "Below 20", Table1[[#This Row],[Age]]&lt;30, "20-29", Table1[[#This Row],[Age]]&lt;40, "30-39", Table1[[#This Row],[Age]]&lt;50, "40-49", Table1[[#This Row],[Age]]&lt;60, "50-59", Table1[[#This Row],[Age]]&gt;=60, "60+")</f>
        <v>50-59</v>
      </c>
      <c r="N36" t="str" cm="1">
        <f t="array" ref="N36">_xlfn.IFS(Table1[[#This Row],[Days_to_Activate]]&lt;=3, "Fast", Table1[[#This Row],[Days_to_Activate]]&lt;=7, "Moderate", Table1[[#This Row],[Days_to_Activate]]&lt;=14, "Slow", Table1[[#This Row],[Days_to_Activate]]&gt;14, "Outlier")</f>
        <v>Fast</v>
      </c>
    </row>
    <row r="37" spans="1:14" x14ac:dyDescent="0.25">
      <c r="A37" t="s">
        <v>83</v>
      </c>
      <c r="B37">
        <v>33</v>
      </c>
      <c r="C37" t="s">
        <v>13</v>
      </c>
      <c r="D37" t="s">
        <v>14</v>
      </c>
      <c r="E37" s="2">
        <v>46166</v>
      </c>
      <c r="F37" t="s">
        <v>36</v>
      </c>
      <c r="G37" t="s">
        <v>37</v>
      </c>
      <c r="I37" t="s">
        <v>18</v>
      </c>
      <c r="J37" s="1">
        <v>1</v>
      </c>
      <c r="K37" s="3">
        <v>5378</v>
      </c>
      <c r="L37">
        <v>2</v>
      </c>
      <c r="M37" t="str" cm="1">
        <f t="array" ref="M37">_xlfn.IFS(Table1[[#This Row],[Age]]="", "Missing", Table1[[#This Row],[Age]]&lt;20, "Below 20", Table1[[#This Row],[Age]]&lt;30, "20-29", Table1[[#This Row],[Age]]&lt;40, "30-39", Table1[[#This Row],[Age]]&lt;50, "40-49", Table1[[#This Row],[Age]]&lt;60, "50-59", Table1[[#This Row],[Age]]&gt;=60, "60+")</f>
        <v>30-39</v>
      </c>
      <c r="N37" t="str" cm="1">
        <f t="array" ref="N37">_xlfn.IFS(Table1[[#This Row],[Days_to_Activate]]&lt;=3, "Fast", Table1[[#This Row],[Days_to_Activate]]&lt;=7, "Moderate", Table1[[#This Row],[Days_to_Activate]]&lt;=14, "Slow", Table1[[#This Row],[Days_to_Activate]]&gt;14, "Outlier")</f>
        <v>Fast</v>
      </c>
    </row>
    <row r="38" spans="1:14" x14ac:dyDescent="0.25">
      <c r="A38" t="s">
        <v>85</v>
      </c>
      <c r="B38">
        <v>29</v>
      </c>
      <c r="C38" t="s">
        <v>22</v>
      </c>
      <c r="D38" t="s">
        <v>14</v>
      </c>
      <c r="E38" s="2">
        <v>46108</v>
      </c>
      <c r="F38" t="s">
        <v>16</v>
      </c>
      <c r="G38" t="s">
        <v>17</v>
      </c>
      <c r="H38">
        <v>10</v>
      </c>
      <c r="I38" t="s">
        <v>18</v>
      </c>
      <c r="J38" s="1">
        <v>31</v>
      </c>
      <c r="K38" s="3">
        <v>182001</v>
      </c>
      <c r="L38">
        <v>2</v>
      </c>
      <c r="M38" t="str" cm="1">
        <f t="array" ref="M38">_xlfn.IFS(Table1[[#This Row],[Age]]="", "Missing", Table1[[#This Row],[Age]]&lt;20, "Below 20", Table1[[#This Row],[Age]]&lt;30, "20-29", Table1[[#This Row],[Age]]&lt;40, "30-39", Table1[[#This Row],[Age]]&lt;50, "40-49", Table1[[#This Row],[Age]]&lt;60, "50-59", Table1[[#This Row],[Age]]&gt;=60, "60+")</f>
        <v>20-29</v>
      </c>
      <c r="N38" t="str" cm="1">
        <f t="array" ref="N38">_xlfn.IFS(Table1[[#This Row],[Days_to_Activate]]&lt;=3, "Fast", Table1[[#This Row],[Days_to_Activate]]&lt;=7, "Moderate", Table1[[#This Row],[Days_to_Activate]]&lt;=14, "Slow", Table1[[#This Row],[Days_to_Activate]]&gt;14, "Outlier")</f>
        <v>Slow</v>
      </c>
    </row>
    <row r="39" spans="1:14" x14ac:dyDescent="0.25">
      <c r="A39" t="s">
        <v>87</v>
      </c>
      <c r="B39">
        <v>24</v>
      </c>
      <c r="C39" t="s">
        <v>22</v>
      </c>
      <c r="D39" t="s">
        <v>28</v>
      </c>
      <c r="E39" s="2">
        <v>46143</v>
      </c>
      <c r="F39" t="s">
        <v>16</v>
      </c>
      <c r="G39" t="s">
        <v>17</v>
      </c>
      <c r="H39">
        <v>7</v>
      </c>
      <c r="I39" t="s">
        <v>20</v>
      </c>
      <c r="J39" s="1">
        <v>29</v>
      </c>
      <c r="K39" s="3">
        <v>149408</v>
      </c>
      <c r="L39">
        <v>1</v>
      </c>
      <c r="M39" t="str" cm="1">
        <f t="array" ref="M39">_xlfn.IFS(Table1[[#This Row],[Age]]="", "Missing", Table1[[#This Row],[Age]]&lt;20, "Below 20", Table1[[#This Row],[Age]]&lt;30, "20-29", Table1[[#This Row],[Age]]&lt;40, "30-39", Table1[[#This Row],[Age]]&lt;50, "40-49", Table1[[#This Row],[Age]]&lt;60, "50-59", Table1[[#This Row],[Age]]&gt;=60, "60+")</f>
        <v>20-29</v>
      </c>
      <c r="N39" t="str" cm="1">
        <f t="array" ref="N39">_xlfn.IFS(Table1[[#This Row],[Days_to_Activate]]&lt;=3, "Fast", Table1[[#This Row],[Days_to_Activate]]&lt;=7, "Moderate", Table1[[#This Row],[Days_to_Activate]]&lt;=14, "Slow", Table1[[#This Row],[Days_to_Activate]]&gt;14, "Outlier")</f>
        <v>Moderate</v>
      </c>
    </row>
    <row r="40" spans="1:14" x14ac:dyDescent="0.25">
      <c r="A40" t="s">
        <v>88</v>
      </c>
      <c r="B40">
        <v>60</v>
      </c>
      <c r="C40" t="s">
        <v>13</v>
      </c>
      <c r="D40" t="s">
        <v>14</v>
      </c>
      <c r="E40" s="2">
        <v>46094</v>
      </c>
      <c r="F40" t="s">
        <v>36</v>
      </c>
      <c r="G40" t="s">
        <v>37</v>
      </c>
      <c r="I40" t="s">
        <v>20</v>
      </c>
      <c r="J40" s="1">
        <v>5</v>
      </c>
      <c r="K40" s="3">
        <v>49230</v>
      </c>
      <c r="L40">
        <v>4</v>
      </c>
      <c r="M40" t="str" cm="1">
        <f t="array" ref="M40">_xlfn.IFS(Table1[[#This Row],[Age]]="", "Missing", Table1[[#This Row],[Age]]&lt;20, "Below 20", Table1[[#This Row],[Age]]&lt;30, "20-29", Table1[[#This Row],[Age]]&lt;40, "30-39", Table1[[#This Row],[Age]]&lt;50, "40-49", Table1[[#This Row],[Age]]&lt;60, "50-59", Table1[[#This Row],[Age]]&gt;=60, "60+")</f>
        <v>60+</v>
      </c>
      <c r="N40" t="str" cm="1">
        <f t="array" ref="N40">_xlfn.IFS(Table1[[#This Row],[Days_to_Activate]]&lt;=3, "Fast", Table1[[#This Row],[Days_to_Activate]]&lt;=7, "Moderate", Table1[[#This Row],[Days_to_Activate]]&lt;=14, "Slow", Table1[[#This Row],[Days_to_Activate]]&gt;14, "Outlier")</f>
        <v>Fast</v>
      </c>
    </row>
    <row r="41" spans="1:14" x14ac:dyDescent="0.25">
      <c r="A41" t="s">
        <v>90</v>
      </c>
      <c r="B41">
        <v>52</v>
      </c>
      <c r="C41" t="s">
        <v>22</v>
      </c>
      <c r="D41" t="s">
        <v>91</v>
      </c>
      <c r="E41" s="2">
        <v>46052</v>
      </c>
      <c r="F41" t="s">
        <v>36</v>
      </c>
      <c r="G41" t="s">
        <v>37</v>
      </c>
      <c r="I41" t="s">
        <v>20</v>
      </c>
      <c r="J41" s="1">
        <v>2</v>
      </c>
      <c r="K41" s="3">
        <v>4252</v>
      </c>
      <c r="L41">
        <v>1</v>
      </c>
      <c r="M41" t="str" cm="1">
        <f t="array" ref="M41">_xlfn.IFS(Table1[[#This Row],[Age]]="", "Missing", Table1[[#This Row],[Age]]&lt;20, "Below 20", Table1[[#This Row],[Age]]&lt;30, "20-29", Table1[[#This Row],[Age]]&lt;40, "30-39", Table1[[#This Row],[Age]]&lt;50, "40-49", Table1[[#This Row],[Age]]&lt;60, "50-59", Table1[[#This Row],[Age]]&gt;=60, "60+")</f>
        <v>50-59</v>
      </c>
      <c r="N41" t="str" cm="1">
        <f t="array" ref="N41">_xlfn.IFS(Table1[[#This Row],[Days_to_Activate]]&lt;=3, "Fast", Table1[[#This Row],[Days_to_Activate]]&lt;=7, "Moderate", Table1[[#This Row],[Days_to_Activate]]&lt;=14, "Slow", Table1[[#This Row],[Days_to_Activate]]&gt;14, "Outlier")</f>
        <v>Fast</v>
      </c>
    </row>
    <row r="42" spans="1:14" x14ac:dyDescent="0.25">
      <c r="A42" t="s">
        <v>93</v>
      </c>
      <c r="B42">
        <v>56</v>
      </c>
      <c r="C42" t="s">
        <v>22</v>
      </c>
      <c r="D42" t="s">
        <v>14</v>
      </c>
      <c r="E42" s="2">
        <v>46103</v>
      </c>
      <c r="F42" t="s">
        <v>16</v>
      </c>
      <c r="G42" t="s">
        <v>37</v>
      </c>
      <c r="I42" t="s">
        <v>20</v>
      </c>
      <c r="J42" s="1">
        <v>4</v>
      </c>
      <c r="K42" s="3">
        <v>18456</v>
      </c>
      <c r="L42">
        <v>3</v>
      </c>
      <c r="M42" t="str" cm="1">
        <f t="array" ref="M42">_xlfn.IFS(Table1[[#This Row],[Age]]="", "Missing", Table1[[#This Row],[Age]]&lt;20, "Below 20", Table1[[#This Row],[Age]]&lt;30, "20-29", Table1[[#This Row],[Age]]&lt;40, "30-39", Table1[[#This Row],[Age]]&lt;50, "40-49", Table1[[#This Row],[Age]]&lt;60, "50-59", Table1[[#This Row],[Age]]&gt;=60, "60+")</f>
        <v>50-59</v>
      </c>
      <c r="N42" t="str" cm="1">
        <f t="array" ref="N42">_xlfn.IFS(Table1[[#This Row],[Days_to_Activate]]&lt;=3, "Fast", Table1[[#This Row],[Days_to_Activate]]&lt;=7, "Moderate", Table1[[#This Row],[Days_to_Activate]]&lt;=14, "Slow", Table1[[#This Row],[Days_to_Activate]]&gt;14, "Outlier")</f>
        <v>Fast</v>
      </c>
    </row>
    <row r="43" spans="1:14" x14ac:dyDescent="0.25">
      <c r="A43" t="s">
        <v>95</v>
      </c>
      <c r="B43">
        <v>20</v>
      </c>
      <c r="C43" t="s">
        <v>22</v>
      </c>
      <c r="D43" t="s">
        <v>14</v>
      </c>
      <c r="E43" s="2">
        <v>46160</v>
      </c>
      <c r="F43" t="s">
        <v>16</v>
      </c>
      <c r="G43" t="s">
        <v>37</v>
      </c>
      <c r="I43" t="s">
        <v>18</v>
      </c>
      <c r="J43" s="1">
        <v>1</v>
      </c>
      <c r="K43" s="3">
        <v>7467</v>
      </c>
      <c r="L43">
        <v>4</v>
      </c>
      <c r="M43" t="str" cm="1">
        <f t="array" ref="M43">_xlfn.IFS(Table1[[#This Row],[Age]]="", "Missing", Table1[[#This Row],[Age]]&lt;20, "Below 20", Table1[[#This Row],[Age]]&lt;30, "20-29", Table1[[#This Row],[Age]]&lt;40, "30-39", Table1[[#This Row],[Age]]&lt;50, "40-49", Table1[[#This Row],[Age]]&lt;60, "50-59", Table1[[#This Row],[Age]]&gt;=60, "60+")</f>
        <v>20-29</v>
      </c>
      <c r="N43" t="str" cm="1">
        <f t="array" ref="N43">_xlfn.IFS(Table1[[#This Row],[Days_to_Activate]]&lt;=3, "Fast", Table1[[#This Row],[Days_to_Activate]]&lt;=7, "Moderate", Table1[[#This Row],[Days_to_Activate]]&lt;=14, "Slow", Table1[[#This Row],[Days_to_Activate]]&gt;14, "Outlier")</f>
        <v>Fast</v>
      </c>
    </row>
    <row r="44" spans="1:14" x14ac:dyDescent="0.25">
      <c r="A44" t="s">
        <v>97</v>
      </c>
      <c r="B44">
        <v>22</v>
      </c>
      <c r="C44" t="s">
        <v>22</v>
      </c>
      <c r="D44" t="s">
        <v>26</v>
      </c>
      <c r="E44" s="2">
        <v>46192</v>
      </c>
      <c r="F44" t="s">
        <v>16</v>
      </c>
      <c r="G44" t="s">
        <v>17</v>
      </c>
      <c r="H44">
        <v>4</v>
      </c>
      <c r="I44" t="s">
        <v>20</v>
      </c>
      <c r="J44" s="1">
        <v>52</v>
      </c>
      <c r="K44" s="3">
        <v>355888</v>
      </c>
      <c r="L44">
        <v>4</v>
      </c>
      <c r="M44" t="str" cm="1">
        <f t="array" ref="M44">_xlfn.IFS(Table1[[#This Row],[Age]]="", "Missing", Table1[[#This Row],[Age]]&lt;20, "Below 20", Table1[[#This Row],[Age]]&lt;30, "20-29", Table1[[#This Row],[Age]]&lt;40, "30-39", Table1[[#This Row],[Age]]&lt;50, "40-49", Table1[[#This Row],[Age]]&lt;60, "50-59", Table1[[#This Row],[Age]]&gt;=60, "60+")</f>
        <v>20-29</v>
      </c>
      <c r="N44" t="str" cm="1">
        <f t="array" ref="N44">_xlfn.IFS(Table1[[#This Row],[Days_to_Activate]]&lt;=3, "Fast", Table1[[#This Row],[Days_to_Activate]]&lt;=7, "Moderate", Table1[[#This Row],[Days_to_Activate]]&lt;=14, "Slow", Table1[[#This Row],[Days_to_Activate]]&gt;14, "Outlier")</f>
        <v>Moderate</v>
      </c>
    </row>
    <row r="45" spans="1:14" x14ac:dyDescent="0.25">
      <c r="A45" t="s">
        <v>98</v>
      </c>
      <c r="B45">
        <v>36</v>
      </c>
      <c r="C45" t="s">
        <v>13</v>
      </c>
      <c r="D45" t="s">
        <v>14</v>
      </c>
      <c r="E45" s="2">
        <v>46193</v>
      </c>
      <c r="F45" t="s">
        <v>36</v>
      </c>
      <c r="G45" t="s">
        <v>37</v>
      </c>
      <c r="I45" t="s">
        <v>43</v>
      </c>
      <c r="J45" s="1">
        <v>4</v>
      </c>
      <c r="K45" s="3">
        <v>43296</v>
      </c>
      <c r="L45">
        <v>3</v>
      </c>
      <c r="M45" t="str" cm="1">
        <f t="array" ref="M45">_xlfn.IFS(Table1[[#This Row],[Age]]="", "Missing", Table1[[#This Row],[Age]]&lt;20, "Below 20", Table1[[#This Row],[Age]]&lt;30, "20-29", Table1[[#This Row],[Age]]&lt;40, "30-39", Table1[[#This Row],[Age]]&lt;50, "40-49", Table1[[#This Row],[Age]]&lt;60, "50-59", Table1[[#This Row],[Age]]&gt;=60, "60+")</f>
        <v>30-39</v>
      </c>
      <c r="N45" t="str" cm="1">
        <f t="array" ref="N45">_xlfn.IFS(Table1[[#This Row],[Days_to_Activate]]&lt;=3, "Fast", Table1[[#This Row],[Days_to_Activate]]&lt;=7, "Moderate", Table1[[#This Row],[Days_to_Activate]]&lt;=14, "Slow", Table1[[#This Row],[Days_to_Activate]]&gt;14, "Outlier")</f>
        <v>Fast</v>
      </c>
    </row>
    <row r="46" spans="1:14" x14ac:dyDescent="0.25">
      <c r="A46" t="s">
        <v>100</v>
      </c>
      <c r="B46">
        <v>43</v>
      </c>
      <c r="C46" t="s">
        <v>13</v>
      </c>
      <c r="D46" t="s">
        <v>14</v>
      </c>
      <c r="E46" s="2">
        <v>46076</v>
      </c>
      <c r="F46" t="s">
        <v>16</v>
      </c>
      <c r="G46" t="s">
        <v>17</v>
      </c>
      <c r="H46">
        <v>10</v>
      </c>
      <c r="I46" t="s">
        <v>20</v>
      </c>
      <c r="J46" s="1">
        <v>56</v>
      </c>
      <c r="K46" s="3">
        <v>489664</v>
      </c>
      <c r="L46">
        <v>2</v>
      </c>
      <c r="M46" t="str" cm="1">
        <f t="array" ref="M46">_xlfn.IFS(Table1[[#This Row],[Age]]="", "Missing", Table1[[#This Row],[Age]]&lt;20, "Below 20", Table1[[#This Row],[Age]]&lt;30, "20-29", Table1[[#This Row],[Age]]&lt;40, "30-39", Table1[[#This Row],[Age]]&lt;50, "40-49", Table1[[#This Row],[Age]]&lt;60, "50-59", Table1[[#This Row],[Age]]&gt;=60, "60+")</f>
        <v>40-49</v>
      </c>
      <c r="N46" t="str" cm="1">
        <f t="array" ref="N46">_xlfn.IFS(Table1[[#This Row],[Days_to_Activate]]&lt;=3, "Fast", Table1[[#This Row],[Days_to_Activate]]&lt;=7, "Moderate", Table1[[#This Row],[Days_to_Activate]]&lt;=14, "Slow", Table1[[#This Row],[Days_to_Activate]]&gt;14, "Outlier")</f>
        <v>Slow</v>
      </c>
    </row>
    <row r="47" spans="1:14" x14ac:dyDescent="0.25">
      <c r="A47" t="s">
        <v>101</v>
      </c>
      <c r="B47">
        <v>50</v>
      </c>
      <c r="C47" t="s">
        <v>22</v>
      </c>
      <c r="D47" t="s">
        <v>23</v>
      </c>
      <c r="E47" s="2">
        <v>46066</v>
      </c>
      <c r="F47" t="s">
        <v>16</v>
      </c>
      <c r="G47" t="s">
        <v>17</v>
      </c>
      <c r="H47">
        <v>10</v>
      </c>
      <c r="I47" t="s">
        <v>18</v>
      </c>
      <c r="J47" s="1">
        <v>42</v>
      </c>
      <c r="K47" s="3">
        <v>127260</v>
      </c>
      <c r="L47">
        <v>2</v>
      </c>
      <c r="M47" t="str" cm="1">
        <f t="array" ref="M47">_xlfn.IFS(Table1[[#This Row],[Age]]="", "Missing", Table1[[#This Row],[Age]]&lt;20, "Below 20", Table1[[#This Row],[Age]]&lt;30, "20-29", Table1[[#This Row],[Age]]&lt;40, "30-39", Table1[[#This Row],[Age]]&lt;50, "40-49", Table1[[#This Row],[Age]]&lt;60, "50-59", Table1[[#This Row],[Age]]&gt;=60, "60+")</f>
        <v>50-59</v>
      </c>
      <c r="N47" t="str" cm="1">
        <f t="array" ref="N47">_xlfn.IFS(Table1[[#This Row],[Days_to_Activate]]&lt;=3, "Fast", Table1[[#This Row],[Days_to_Activate]]&lt;=7, "Moderate", Table1[[#This Row],[Days_to_Activate]]&lt;=14, "Slow", Table1[[#This Row],[Days_to_Activate]]&gt;14, "Outlier")</f>
        <v>Slow</v>
      </c>
    </row>
    <row r="48" spans="1:14" x14ac:dyDescent="0.25">
      <c r="A48" t="s">
        <v>102</v>
      </c>
      <c r="B48">
        <v>37</v>
      </c>
      <c r="C48" t="s">
        <v>13</v>
      </c>
      <c r="D48" t="s">
        <v>23</v>
      </c>
      <c r="E48" s="2">
        <v>46060</v>
      </c>
      <c r="F48" t="s">
        <v>16</v>
      </c>
      <c r="G48" t="s">
        <v>17</v>
      </c>
      <c r="H48">
        <v>7</v>
      </c>
      <c r="I48" t="s">
        <v>18</v>
      </c>
      <c r="J48" s="1">
        <v>9</v>
      </c>
      <c r="K48" s="3">
        <v>80649</v>
      </c>
      <c r="L48">
        <v>4</v>
      </c>
      <c r="M48" t="str" cm="1">
        <f t="array" ref="M48">_xlfn.IFS(Table1[[#This Row],[Age]]="", "Missing", Table1[[#This Row],[Age]]&lt;20, "Below 20", Table1[[#This Row],[Age]]&lt;30, "20-29", Table1[[#This Row],[Age]]&lt;40, "30-39", Table1[[#This Row],[Age]]&lt;50, "40-49", Table1[[#This Row],[Age]]&lt;60, "50-59", Table1[[#This Row],[Age]]&gt;=60, "60+")</f>
        <v>30-39</v>
      </c>
      <c r="N48" t="str" cm="1">
        <f t="array" ref="N48">_xlfn.IFS(Table1[[#This Row],[Days_to_Activate]]&lt;=3, "Fast", Table1[[#This Row],[Days_to_Activate]]&lt;=7, "Moderate", Table1[[#This Row],[Days_to_Activate]]&lt;=14, "Slow", Table1[[#This Row],[Days_to_Activate]]&gt;14, "Outlier")</f>
        <v>Moderate</v>
      </c>
    </row>
    <row r="49" spans="1:14" x14ac:dyDescent="0.25">
      <c r="A49" t="s">
        <v>103</v>
      </c>
      <c r="B49">
        <v>58</v>
      </c>
      <c r="C49" t="s">
        <v>13</v>
      </c>
      <c r="D49" t="s">
        <v>30</v>
      </c>
      <c r="E49" s="2">
        <v>46121</v>
      </c>
      <c r="F49" t="s">
        <v>16</v>
      </c>
      <c r="G49" t="s">
        <v>17</v>
      </c>
      <c r="H49">
        <v>10</v>
      </c>
      <c r="I49" t="s">
        <v>18</v>
      </c>
      <c r="J49" s="1">
        <v>13</v>
      </c>
      <c r="K49" s="3">
        <v>110045</v>
      </c>
      <c r="L49">
        <v>2</v>
      </c>
      <c r="M49" t="str" cm="1">
        <f t="array" ref="M49">_xlfn.IFS(Table1[[#This Row],[Age]]="", "Missing", Table1[[#This Row],[Age]]&lt;20, "Below 20", Table1[[#This Row],[Age]]&lt;30, "20-29", Table1[[#This Row],[Age]]&lt;40, "30-39", Table1[[#This Row],[Age]]&lt;50, "40-49", Table1[[#This Row],[Age]]&lt;60, "50-59", Table1[[#This Row],[Age]]&gt;=60, "60+")</f>
        <v>50-59</v>
      </c>
      <c r="N49" t="str" cm="1">
        <f t="array" ref="N49">_xlfn.IFS(Table1[[#This Row],[Days_to_Activate]]&lt;=3, "Fast", Table1[[#This Row],[Days_to_Activate]]&lt;=7, "Moderate", Table1[[#This Row],[Days_to_Activate]]&lt;=14, "Slow", Table1[[#This Row],[Days_to_Activate]]&gt;14, "Outlier")</f>
        <v>Slow</v>
      </c>
    </row>
    <row r="50" spans="1:14" x14ac:dyDescent="0.25">
      <c r="A50" t="s">
        <v>104</v>
      </c>
      <c r="B50">
        <v>29</v>
      </c>
      <c r="C50" t="s">
        <v>22</v>
      </c>
      <c r="D50" t="s">
        <v>14</v>
      </c>
      <c r="E50" s="2">
        <v>46086</v>
      </c>
      <c r="F50" t="s">
        <v>36</v>
      </c>
      <c r="G50" t="s">
        <v>37</v>
      </c>
      <c r="I50" t="s">
        <v>20</v>
      </c>
      <c r="J50" s="1">
        <v>3</v>
      </c>
      <c r="K50" s="3">
        <v>30606</v>
      </c>
      <c r="L50">
        <v>3</v>
      </c>
      <c r="M50" t="str" cm="1">
        <f t="array" ref="M50">_xlfn.IFS(Table1[[#This Row],[Age]]="", "Missing", Table1[[#This Row],[Age]]&lt;20, "Below 20", Table1[[#This Row],[Age]]&lt;30, "20-29", Table1[[#This Row],[Age]]&lt;40, "30-39", Table1[[#This Row],[Age]]&lt;50, "40-49", Table1[[#This Row],[Age]]&lt;60, "50-59", Table1[[#This Row],[Age]]&gt;=60, "60+")</f>
        <v>20-29</v>
      </c>
      <c r="N50" t="str" cm="1">
        <f t="array" ref="N50">_xlfn.IFS(Table1[[#This Row],[Days_to_Activate]]&lt;=3, "Fast", Table1[[#This Row],[Days_to_Activate]]&lt;=7, "Moderate", Table1[[#This Row],[Days_to_Activate]]&lt;=14, "Slow", Table1[[#This Row],[Days_to_Activate]]&gt;14, "Outlier")</f>
        <v>Fast</v>
      </c>
    </row>
    <row r="51" spans="1:14" x14ac:dyDescent="0.25">
      <c r="A51" t="s">
        <v>106</v>
      </c>
      <c r="B51">
        <v>46</v>
      </c>
      <c r="C51" t="s">
        <v>22</v>
      </c>
      <c r="D51" t="s">
        <v>23</v>
      </c>
      <c r="E51" s="2">
        <v>46163</v>
      </c>
      <c r="F51" t="s">
        <v>16</v>
      </c>
      <c r="G51" t="s">
        <v>17</v>
      </c>
      <c r="H51">
        <v>13</v>
      </c>
      <c r="I51" t="s">
        <v>20</v>
      </c>
      <c r="J51" s="1">
        <v>33</v>
      </c>
      <c r="K51" s="3">
        <v>183150</v>
      </c>
      <c r="L51">
        <v>3</v>
      </c>
      <c r="M51" t="str" cm="1">
        <f t="array" ref="M51">_xlfn.IFS(Table1[[#This Row],[Age]]="", "Missing", Table1[[#This Row],[Age]]&lt;20, "Below 20", Table1[[#This Row],[Age]]&lt;30, "20-29", Table1[[#This Row],[Age]]&lt;40, "30-39", Table1[[#This Row],[Age]]&lt;50, "40-49", Table1[[#This Row],[Age]]&lt;60, "50-59", Table1[[#This Row],[Age]]&gt;=60, "60+")</f>
        <v>40-49</v>
      </c>
      <c r="N51" t="str" cm="1">
        <f t="array" ref="N51">_xlfn.IFS(Table1[[#This Row],[Days_to_Activate]]&lt;=3, "Fast", Table1[[#This Row],[Days_to_Activate]]&lt;=7, "Moderate", Table1[[#This Row],[Days_to_Activate]]&lt;=14, "Slow", Table1[[#This Row],[Days_to_Activate]]&gt;14, "Outlier")</f>
        <v>Slow</v>
      </c>
    </row>
    <row r="52" spans="1:14" x14ac:dyDescent="0.25">
      <c r="A52" t="s">
        <v>107</v>
      </c>
      <c r="B52">
        <v>51</v>
      </c>
      <c r="C52" t="s">
        <v>22</v>
      </c>
      <c r="D52" t="s">
        <v>26</v>
      </c>
      <c r="E52" s="2">
        <v>46093</v>
      </c>
      <c r="F52" t="s">
        <v>16</v>
      </c>
      <c r="G52" t="s">
        <v>17</v>
      </c>
      <c r="H52">
        <v>3</v>
      </c>
      <c r="I52" t="s">
        <v>20</v>
      </c>
      <c r="J52" s="1">
        <v>40</v>
      </c>
      <c r="L52">
        <v>3</v>
      </c>
      <c r="M52" t="str" cm="1">
        <f t="array" ref="M52">_xlfn.IFS(Table1[[#This Row],[Age]]="", "Missing", Table1[[#This Row],[Age]]&lt;20, "Below 20", Table1[[#This Row],[Age]]&lt;30, "20-29", Table1[[#This Row],[Age]]&lt;40, "30-39", Table1[[#This Row],[Age]]&lt;50, "40-49", Table1[[#This Row],[Age]]&lt;60, "50-59", Table1[[#This Row],[Age]]&gt;=60, "60+")</f>
        <v>50-59</v>
      </c>
      <c r="N52" t="str" cm="1">
        <f t="array" ref="N52">_xlfn.IFS(Table1[[#This Row],[Days_to_Activate]]&lt;=3, "Fast", Table1[[#This Row],[Days_to_Activate]]&lt;=7, "Moderate", Table1[[#This Row],[Days_to_Activate]]&lt;=14, "Slow", Table1[[#This Row],[Days_to_Activate]]&gt;14, "Outlier")</f>
        <v>Fast</v>
      </c>
    </row>
    <row r="53" spans="1:14" x14ac:dyDescent="0.25">
      <c r="A53" t="s">
        <v>108</v>
      </c>
      <c r="B53">
        <v>26</v>
      </c>
      <c r="C53" t="s">
        <v>13</v>
      </c>
      <c r="D53" t="s">
        <v>14</v>
      </c>
      <c r="E53" s="2">
        <v>46200</v>
      </c>
      <c r="F53" t="s">
        <v>16</v>
      </c>
      <c r="G53" t="s">
        <v>17</v>
      </c>
      <c r="H53">
        <v>6</v>
      </c>
      <c r="I53" t="s">
        <v>20</v>
      </c>
      <c r="J53" s="1">
        <v>69</v>
      </c>
      <c r="K53" s="3">
        <v>630177</v>
      </c>
      <c r="L53">
        <v>4</v>
      </c>
      <c r="M53" t="str" cm="1">
        <f t="array" ref="M53">_xlfn.IFS(Table1[[#This Row],[Age]]="", "Missing", Table1[[#This Row],[Age]]&lt;20, "Below 20", Table1[[#This Row],[Age]]&lt;30, "20-29", Table1[[#This Row],[Age]]&lt;40, "30-39", Table1[[#This Row],[Age]]&lt;50, "40-49", Table1[[#This Row],[Age]]&lt;60, "50-59", Table1[[#This Row],[Age]]&gt;=60, "60+")</f>
        <v>20-29</v>
      </c>
      <c r="N53" t="str" cm="1">
        <f t="array" ref="N53">_xlfn.IFS(Table1[[#This Row],[Days_to_Activate]]&lt;=3, "Fast", Table1[[#This Row],[Days_to_Activate]]&lt;=7, "Moderate", Table1[[#This Row],[Days_to_Activate]]&lt;=14, "Slow", Table1[[#This Row],[Days_to_Activate]]&gt;14, "Outlier")</f>
        <v>Moderate</v>
      </c>
    </row>
    <row r="54" spans="1:14" x14ac:dyDescent="0.25">
      <c r="A54" t="s">
        <v>109</v>
      </c>
      <c r="B54">
        <v>21</v>
      </c>
      <c r="C54" t="s">
        <v>13</v>
      </c>
      <c r="D54" t="s">
        <v>23</v>
      </c>
      <c r="E54" s="2">
        <v>46122</v>
      </c>
      <c r="F54" t="s">
        <v>36</v>
      </c>
      <c r="G54" t="s">
        <v>37</v>
      </c>
      <c r="I54" t="s">
        <v>18</v>
      </c>
      <c r="J54" s="1">
        <v>4</v>
      </c>
      <c r="K54" s="3">
        <v>30928</v>
      </c>
      <c r="L54">
        <v>4</v>
      </c>
      <c r="M54" t="str" cm="1">
        <f t="array" ref="M54">_xlfn.IFS(Table1[[#This Row],[Age]]="", "Missing", Table1[[#This Row],[Age]]&lt;20, "Below 20", Table1[[#This Row],[Age]]&lt;30, "20-29", Table1[[#This Row],[Age]]&lt;40, "30-39", Table1[[#This Row],[Age]]&lt;50, "40-49", Table1[[#This Row],[Age]]&lt;60, "50-59", Table1[[#This Row],[Age]]&gt;=60, "60+")</f>
        <v>20-29</v>
      </c>
      <c r="N54" t="str" cm="1">
        <f t="array" ref="N54">_xlfn.IFS(Table1[[#This Row],[Days_to_Activate]]&lt;=3, "Fast", Table1[[#This Row],[Days_to_Activate]]&lt;=7, "Moderate", Table1[[#This Row],[Days_to_Activate]]&lt;=14, "Slow", Table1[[#This Row],[Days_to_Activate]]&gt;14, "Outlier")</f>
        <v>Fast</v>
      </c>
    </row>
    <row r="55" spans="1:14" x14ac:dyDescent="0.25">
      <c r="A55" t="s">
        <v>111</v>
      </c>
      <c r="B55">
        <v>18</v>
      </c>
      <c r="C55" t="s">
        <v>22</v>
      </c>
      <c r="D55" t="s">
        <v>14</v>
      </c>
      <c r="E55" s="2">
        <v>46122</v>
      </c>
      <c r="F55" t="s">
        <v>36</v>
      </c>
      <c r="G55" t="s">
        <v>37</v>
      </c>
      <c r="I55" t="s">
        <v>20</v>
      </c>
      <c r="J55" s="1">
        <v>5</v>
      </c>
      <c r="K55" s="3">
        <v>52235</v>
      </c>
      <c r="L55">
        <v>2</v>
      </c>
      <c r="M55" t="str" cm="1">
        <f t="array" ref="M55">_xlfn.IFS(Table1[[#This Row],[Age]]="", "Missing", Table1[[#This Row],[Age]]&lt;20, "Below 20", Table1[[#This Row],[Age]]&lt;30, "20-29", Table1[[#This Row],[Age]]&lt;40, "30-39", Table1[[#This Row],[Age]]&lt;50, "40-49", Table1[[#This Row],[Age]]&lt;60, "50-59", Table1[[#This Row],[Age]]&gt;=60, "60+")</f>
        <v>Below 20</v>
      </c>
      <c r="N55" t="str" cm="1">
        <f t="array" ref="N55">_xlfn.IFS(Table1[[#This Row],[Days_to_Activate]]&lt;=3, "Fast", Table1[[#This Row],[Days_to_Activate]]&lt;=7, "Moderate", Table1[[#This Row],[Days_to_Activate]]&lt;=14, "Slow", Table1[[#This Row],[Days_to_Activate]]&gt;14, "Outlier")</f>
        <v>Fast</v>
      </c>
    </row>
    <row r="56" spans="1:14" x14ac:dyDescent="0.25">
      <c r="A56" t="s">
        <v>112</v>
      </c>
      <c r="B56">
        <v>49</v>
      </c>
      <c r="C56" t="s">
        <v>13</v>
      </c>
      <c r="D56" t="s">
        <v>14</v>
      </c>
      <c r="E56" s="2">
        <v>46147</v>
      </c>
      <c r="F56" t="s">
        <v>16</v>
      </c>
      <c r="G56" t="s">
        <v>17</v>
      </c>
      <c r="H56">
        <v>10</v>
      </c>
      <c r="I56" t="s">
        <v>18</v>
      </c>
      <c r="J56" s="1">
        <v>21</v>
      </c>
      <c r="K56" s="3">
        <v>192297</v>
      </c>
      <c r="L56">
        <v>2</v>
      </c>
      <c r="M56" t="str" cm="1">
        <f t="array" ref="M56">_xlfn.IFS(Table1[[#This Row],[Age]]="", "Missing", Table1[[#This Row],[Age]]&lt;20, "Below 20", Table1[[#This Row],[Age]]&lt;30, "20-29", Table1[[#This Row],[Age]]&lt;40, "30-39", Table1[[#This Row],[Age]]&lt;50, "40-49", Table1[[#This Row],[Age]]&lt;60, "50-59", Table1[[#This Row],[Age]]&gt;=60, "60+")</f>
        <v>40-49</v>
      </c>
      <c r="N56" t="str" cm="1">
        <f t="array" ref="N56">_xlfn.IFS(Table1[[#This Row],[Days_to_Activate]]&lt;=3, "Fast", Table1[[#This Row],[Days_to_Activate]]&lt;=7, "Moderate", Table1[[#This Row],[Days_to_Activate]]&lt;=14, "Slow", Table1[[#This Row],[Days_to_Activate]]&gt;14, "Outlier")</f>
        <v>Slow</v>
      </c>
    </row>
    <row r="57" spans="1:14" x14ac:dyDescent="0.25">
      <c r="A57" t="s">
        <v>113</v>
      </c>
      <c r="B57">
        <v>57</v>
      </c>
      <c r="C57" t="s">
        <v>13</v>
      </c>
      <c r="D57" t="s">
        <v>28</v>
      </c>
      <c r="E57" s="2">
        <v>46174</v>
      </c>
      <c r="F57" t="s">
        <v>16</v>
      </c>
      <c r="G57" t="s">
        <v>17</v>
      </c>
      <c r="H57">
        <v>10</v>
      </c>
      <c r="I57" t="s">
        <v>20</v>
      </c>
      <c r="J57" s="1">
        <v>59</v>
      </c>
      <c r="K57" s="3">
        <v>264143</v>
      </c>
      <c r="L57">
        <v>1</v>
      </c>
      <c r="M57" t="str" cm="1">
        <f t="array" ref="M57">_xlfn.IFS(Table1[[#This Row],[Age]]="", "Missing", Table1[[#This Row],[Age]]&lt;20, "Below 20", Table1[[#This Row],[Age]]&lt;30, "20-29", Table1[[#This Row],[Age]]&lt;40, "30-39", Table1[[#This Row],[Age]]&lt;50, "40-49", Table1[[#This Row],[Age]]&lt;60, "50-59", Table1[[#This Row],[Age]]&gt;=60, "60+")</f>
        <v>50-59</v>
      </c>
      <c r="N57" t="str" cm="1">
        <f t="array" ref="N57">_xlfn.IFS(Table1[[#This Row],[Days_to_Activate]]&lt;=3, "Fast", Table1[[#This Row],[Days_to_Activate]]&lt;=7, "Moderate", Table1[[#This Row],[Days_to_Activate]]&lt;=14, "Slow", Table1[[#This Row],[Days_to_Activate]]&gt;14, "Outlier")</f>
        <v>Slow</v>
      </c>
    </row>
    <row r="58" spans="1:14" x14ac:dyDescent="0.25">
      <c r="A58" t="s">
        <v>115</v>
      </c>
      <c r="B58">
        <v>34</v>
      </c>
      <c r="C58" t="s">
        <v>22</v>
      </c>
      <c r="D58" t="s">
        <v>14</v>
      </c>
      <c r="E58" s="2">
        <v>46139</v>
      </c>
      <c r="F58" t="s">
        <v>16</v>
      </c>
      <c r="G58" t="s">
        <v>17</v>
      </c>
      <c r="H58">
        <v>6</v>
      </c>
      <c r="I58" t="s">
        <v>20</v>
      </c>
      <c r="J58" s="1">
        <v>53</v>
      </c>
      <c r="K58" s="3">
        <v>298549</v>
      </c>
      <c r="L58">
        <v>1</v>
      </c>
      <c r="M58" t="str" cm="1">
        <f t="array" ref="M58">_xlfn.IFS(Table1[[#This Row],[Age]]="", "Missing", Table1[[#This Row],[Age]]&lt;20, "Below 20", Table1[[#This Row],[Age]]&lt;30, "20-29", Table1[[#This Row],[Age]]&lt;40, "30-39", Table1[[#This Row],[Age]]&lt;50, "40-49", Table1[[#This Row],[Age]]&lt;60, "50-59", Table1[[#This Row],[Age]]&gt;=60, "60+")</f>
        <v>30-39</v>
      </c>
      <c r="N58" t="str" cm="1">
        <f t="array" ref="N58">_xlfn.IFS(Table1[[#This Row],[Days_to_Activate]]&lt;=3, "Fast", Table1[[#This Row],[Days_to_Activate]]&lt;=7, "Moderate", Table1[[#This Row],[Days_to_Activate]]&lt;=14, "Slow", Table1[[#This Row],[Days_to_Activate]]&gt;14, "Outlier")</f>
        <v>Moderate</v>
      </c>
    </row>
    <row r="59" spans="1:14" x14ac:dyDescent="0.25">
      <c r="A59" t="s">
        <v>117</v>
      </c>
      <c r="B59">
        <v>48</v>
      </c>
      <c r="C59" t="s">
        <v>13</v>
      </c>
      <c r="D59" t="s">
        <v>30</v>
      </c>
      <c r="E59" s="2">
        <v>46036</v>
      </c>
      <c r="F59" t="s">
        <v>36</v>
      </c>
      <c r="G59" t="s">
        <v>37</v>
      </c>
      <c r="I59" t="s">
        <v>18</v>
      </c>
      <c r="J59" s="1">
        <v>5</v>
      </c>
      <c r="K59" s="3">
        <v>10795</v>
      </c>
      <c r="L59">
        <v>1</v>
      </c>
      <c r="M59" t="str" cm="1">
        <f t="array" ref="M59">_xlfn.IFS(Table1[[#This Row],[Age]]="", "Missing", Table1[[#This Row],[Age]]&lt;20, "Below 20", Table1[[#This Row],[Age]]&lt;30, "20-29", Table1[[#This Row],[Age]]&lt;40, "30-39", Table1[[#This Row],[Age]]&lt;50, "40-49", Table1[[#This Row],[Age]]&lt;60, "50-59", Table1[[#This Row],[Age]]&gt;=60, "60+")</f>
        <v>40-49</v>
      </c>
      <c r="N59" t="str" cm="1">
        <f t="array" ref="N59">_xlfn.IFS(Table1[[#This Row],[Days_to_Activate]]&lt;=3, "Fast", Table1[[#This Row],[Days_to_Activate]]&lt;=7, "Moderate", Table1[[#This Row],[Days_to_Activate]]&lt;=14, "Slow", Table1[[#This Row],[Days_to_Activate]]&gt;14, "Outlier")</f>
        <v>Fast</v>
      </c>
    </row>
    <row r="60" spans="1:14" x14ac:dyDescent="0.25">
      <c r="A60" t="s">
        <v>119</v>
      </c>
      <c r="B60">
        <v>33</v>
      </c>
      <c r="C60" t="s">
        <v>13</v>
      </c>
      <c r="D60" t="s">
        <v>23</v>
      </c>
      <c r="E60" s="2">
        <v>46182</v>
      </c>
      <c r="F60" t="s">
        <v>16</v>
      </c>
      <c r="G60" t="s">
        <v>17</v>
      </c>
      <c r="H60">
        <v>10</v>
      </c>
      <c r="I60" t="s">
        <v>20</v>
      </c>
      <c r="J60" s="1">
        <v>27</v>
      </c>
      <c r="K60" s="3">
        <v>246213</v>
      </c>
      <c r="L60">
        <v>3</v>
      </c>
      <c r="M60" t="str" cm="1">
        <f t="array" ref="M60">_xlfn.IFS(Table1[[#This Row],[Age]]="", "Missing", Table1[[#This Row],[Age]]&lt;20, "Below 20", Table1[[#This Row],[Age]]&lt;30, "20-29", Table1[[#This Row],[Age]]&lt;40, "30-39", Table1[[#This Row],[Age]]&lt;50, "40-49", Table1[[#This Row],[Age]]&lt;60, "50-59", Table1[[#This Row],[Age]]&gt;=60, "60+")</f>
        <v>30-39</v>
      </c>
      <c r="N60" t="str" cm="1">
        <f t="array" ref="N60">_xlfn.IFS(Table1[[#This Row],[Days_to_Activate]]&lt;=3, "Fast", Table1[[#This Row],[Days_to_Activate]]&lt;=7, "Moderate", Table1[[#This Row],[Days_to_Activate]]&lt;=14, "Slow", Table1[[#This Row],[Days_to_Activate]]&gt;14, "Outlier")</f>
        <v>Slow</v>
      </c>
    </row>
    <row r="61" spans="1:14" x14ac:dyDescent="0.25">
      <c r="A61" t="s">
        <v>120</v>
      </c>
      <c r="B61">
        <v>41</v>
      </c>
      <c r="C61" t="s">
        <v>13</v>
      </c>
      <c r="D61" t="s">
        <v>26</v>
      </c>
      <c r="E61" s="2">
        <v>46052</v>
      </c>
      <c r="F61" t="s">
        <v>16</v>
      </c>
      <c r="G61" t="s">
        <v>17</v>
      </c>
      <c r="H61">
        <v>4</v>
      </c>
      <c r="I61" t="s">
        <v>20</v>
      </c>
      <c r="J61" s="1">
        <v>3</v>
      </c>
      <c r="K61" s="3">
        <v>19833</v>
      </c>
      <c r="L61">
        <v>4</v>
      </c>
      <c r="M61" t="str" cm="1">
        <f t="array" ref="M61">_xlfn.IFS(Table1[[#This Row],[Age]]="", "Missing", Table1[[#This Row],[Age]]&lt;20, "Below 20", Table1[[#This Row],[Age]]&lt;30, "20-29", Table1[[#This Row],[Age]]&lt;40, "30-39", Table1[[#This Row],[Age]]&lt;50, "40-49", Table1[[#This Row],[Age]]&lt;60, "50-59", Table1[[#This Row],[Age]]&gt;=60, "60+")</f>
        <v>40-49</v>
      </c>
      <c r="N61" t="str" cm="1">
        <f t="array" ref="N61">_xlfn.IFS(Table1[[#This Row],[Days_to_Activate]]&lt;=3, "Fast", Table1[[#This Row],[Days_to_Activate]]&lt;=7, "Moderate", Table1[[#This Row],[Days_to_Activate]]&lt;=14, "Slow", Table1[[#This Row],[Days_to_Activate]]&gt;14, "Outlier")</f>
        <v>Moderate</v>
      </c>
    </row>
    <row r="62" spans="1:14" x14ac:dyDescent="0.25">
      <c r="A62" t="s">
        <v>121</v>
      </c>
      <c r="B62">
        <v>43</v>
      </c>
      <c r="C62" t="s">
        <v>13</v>
      </c>
      <c r="D62" t="s">
        <v>14</v>
      </c>
      <c r="E62" s="2">
        <v>46199</v>
      </c>
      <c r="F62" t="s">
        <v>16</v>
      </c>
      <c r="G62" t="s">
        <v>17</v>
      </c>
      <c r="H62">
        <v>11</v>
      </c>
      <c r="I62" t="s">
        <v>18</v>
      </c>
      <c r="J62" s="1">
        <v>76</v>
      </c>
      <c r="K62" s="3">
        <v>264708</v>
      </c>
      <c r="L62">
        <v>1</v>
      </c>
      <c r="M62" t="str" cm="1">
        <f t="array" ref="M62">_xlfn.IFS(Table1[[#This Row],[Age]]="", "Missing", Table1[[#This Row],[Age]]&lt;20, "Below 20", Table1[[#This Row],[Age]]&lt;30, "20-29", Table1[[#This Row],[Age]]&lt;40, "30-39", Table1[[#This Row],[Age]]&lt;50, "40-49", Table1[[#This Row],[Age]]&lt;60, "50-59", Table1[[#This Row],[Age]]&gt;=60, "60+")</f>
        <v>40-49</v>
      </c>
      <c r="N62" t="str" cm="1">
        <f t="array" ref="N62">_xlfn.IFS(Table1[[#This Row],[Days_to_Activate]]&lt;=3, "Fast", Table1[[#This Row],[Days_to_Activate]]&lt;=7, "Moderate", Table1[[#This Row],[Days_to_Activate]]&lt;=14, "Slow", Table1[[#This Row],[Days_to_Activate]]&gt;14, "Outlier")</f>
        <v>Slow</v>
      </c>
    </row>
    <row r="63" spans="1:14" x14ac:dyDescent="0.25">
      <c r="A63" t="s">
        <v>122</v>
      </c>
      <c r="B63">
        <v>40</v>
      </c>
      <c r="C63" t="s">
        <v>22</v>
      </c>
      <c r="D63" t="s">
        <v>26</v>
      </c>
      <c r="E63" s="2">
        <v>46040</v>
      </c>
      <c r="F63" t="s">
        <v>16</v>
      </c>
      <c r="G63" t="s">
        <v>17</v>
      </c>
      <c r="H63">
        <v>13</v>
      </c>
      <c r="I63" t="s">
        <v>20</v>
      </c>
      <c r="J63" s="1">
        <v>62</v>
      </c>
      <c r="K63" s="3">
        <v>200198</v>
      </c>
      <c r="L63">
        <v>4</v>
      </c>
      <c r="M63" t="str" cm="1">
        <f t="array" ref="M63">_xlfn.IFS(Table1[[#This Row],[Age]]="", "Missing", Table1[[#This Row],[Age]]&lt;20, "Below 20", Table1[[#This Row],[Age]]&lt;30, "20-29", Table1[[#This Row],[Age]]&lt;40, "30-39", Table1[[#This Row],[Age]]&lt;50, "40-49", Table1[[#This Row],[Age]]&lt;60, "50-59", Table1[[#This Row],[Age]]&gt;=60, "60+")</f>
        <v>40-49</v>
      </c>
      <c r="N63" t="str" cm="1">
        <f t="array" ref="N63">_xlfn.IFS(Table1[[#This Row],[Days_to_Activate]]&lt;=3, "Fast", Table1[[#This Row],[Days_to_Activate]]&lt;=7, "Moderate", Table1[[#This Row],[Days_to_Activate]]&lt;=14, "Slow", Table1[[#This Row],[Days_to_Activate]]&gt;14, "Outlier")</f>
        <v>Slow</v>
      </c>
    </row>
    <row r="64" spans="1:14" x14ac:dyDescent="0.25">
      <c r="A64" t="s">
        <v>123</v>
      </c>
      <c r="B64">
        <v>41</v>
      </c>
      <c r="C64" t="s">
        <v>22</v>
      </c>
      <c r="D64" t="s">
        <v>30</v>
      </c>
      <c r="E64" s="2">
        <v>46134</v>
      </c>
      <c r="F64" t="s">
        <v>16</v>
      </c>
      <c r="G64" t="s">
        <v>17</v>
      </c>
      <c r="H64">
        <v>10</v>
      </c>
      <c r="I64" t="s">
        <v>20</v>
      </c>
      <c r="J64" s="1">
        <v>68</v>
      </c>
      <c r="K64" s="3">
        <v>640628</v>
      </c>
      <c r="L64">
        <v>4</v>
      </c>
      <c r="M64" t="str" cm="1">
        <f t="array" ref="M64">_xlfn.IFS(Table1[[#This Row],[Age]]="", "Missing", Table1[[#This Row],[Age]]&lt;20, "Below 20", Table1[[#This Row],[Age]]&lt;30, "20-29", Table1[[#This Row],[Age]]&lt;40, "30-39", Table1[[#This Row],[Age]]&lt;50, "40-49", Table1[[#This Row],[Age]]&lt;60, "50-59", Table1[[#This Row],[Age]]&gt;=60, "60+")</f>
        <v>40-49</v>
      </c>
      <c r="N64" t="str" cm="1">
        <f t="array" ref="N64">_xlfn.IFS(Table1[[#This Row],[Days_to_Activate]]&lt;=3, "Fast", Table1[[#This Row],[Days_to_Activate]]&lt;=7, "Moderate", Table1[[#This Row],[Days_to_Activate]]&lt;=14, "Slow", Table1[[#This Row],[Days_to_Activate]]&gt;14, "Outlier")</f>
        <v>Slow</v>
      </c>
    </row>
    <row r="65" spans="1:14" x14ac:dyDescent="0.25">
      <c r="A65" t="s">
        <v>124</v>
      </c>
      <c r="B65">
        <v>45</v>
      </c>
      <c r="C65" t="s">
        <v>22</v>
      </c>
      <c r="D65" t="s">
        <v>14</v>
      </c>
      <c r="E65" s="2">
        <v>46085</v>
      </c>
      <c r="F65" t="s">
        <v>16</v>
      </c>
      <c r="G65" t="s">
        <v>17</v>
      </c>
      <c r="H65">
        <v>14</v>
      </c>
      <c r="I65" t="s">
        <v>20</v>
      </c>
      <c r="J65" s="1">
        <v>59</v>
      </c>
      <c r="K65" s="3">
        <v>639324</v>
      </c>
      <c r="L65">
        <v>4</v>
      </c>
      <c r="M65" t="str" cm="1">
        <f t="array" ref="M65">_xlfn.IFS(Table1[[#This Row],[Age]]="", "Missing", Table1[[#This Row],[Age]]&lt;20, "Below 20", Table1[[#This Row],[Age]]&lt;30, "20-29", Table1[[#This Row],[Age]]&lt;40, "30-39", Table1[[#This Row],[Age]]&lt;50, "40-49", Table1[[#This Row],[Age]]&lt;60, "50-59", Table1[[#This Row],[Age]]&gt;=60, "60+")</f>
        <v>40-49</v>
      </c>
      <c r="N65" t="str" cm="1">
        <f t="array" ref="N65">_xlfn.IFS(Table1[[#This Row],[Days_to_Activate]]&lt;=3, "Fast", Table1[[#This Row],[Days_to_Activate]]&lt;=7, "Moderate", Table1[[#This Row],[Days_to_Activate]]&lt;=14, "Slow", Table1[[#This Row],[Days_to_Activate]]&gt;14, "Outlier")</f>
        <v>Slow</v>
      </c>
    </row>
    <row r="66" spans="1:14" x14ac:dyDescent="0.25">
      <c r="A66" t="s">
        <v>125</v>
      </c>
      <c r="B66">
        <v>39</v>
      </c>
      <c r="C66" t="s">
        <v>13</v>
      </c>
      <c r="D66" t="s">
        <v>49</v>
      </c>
      <c r="E66" s="2">
        <v>46106</v>
      </c>
      <c r="F66" t="s">
        <v>16</v>
      </c>
      <c r="G66" t="s">
        <v>17</v>
      </c>
      <c r="H66">
        <v>12</v>
      </c>
      <c r="I66" t="s">
        <v>20</v>
      </c>
      <c r="J66" s="1">
        <v>35</v>
      </c>
      <c r="K66" s="3">
        <v>394345</v>
      </c>
      <c r="L66">
        <v>3</v>
      </c>
      <c r="M66" t="str" cm="1">
        <f t="array" ref="M66">_xlfn.IFS(Table1[[#This Row],[Age]]="", "Missing", Table1[[#This Row],[Age]]&lt;20, "Below 20", Table1[[#This Row],[Age]]&lt;30, "20-29", Table1[[#This Row],[Age]]&lt;40, "30-39", Table1[[#This Row],[Age]]&lt;50, "40-49", Table1[[#This Row],[Age]]&lt;60, "50-59", Table1[[#This Row],[Age]]&gt;=60, "60+")</f>
        <v>30-39</v>
      </c>
      <c r="N66" t="str" cm="1">
        <f t="array" ref="N66">_xlfn.IFS(Table1[[#This Row],[Days_to_Activate]]&lt;=3, "Fast", Table1[[#This Row],[Days_to_Activate]]&lt;=7, "Moderate", Table1[[#This Row],[Days_to_Activate]]&lt;=14, "Slow", Table1[[#This Row],[Days_to_Activate]]&gt;14, "Outlier")</f>
        <v>Slow</v>
      </c>
    </row>
    <row r="67" spans="1:14" x14ac:dyDescent="0.25">
      <c r="A67" t="s">
        <v>126</v>
      </c>
      <c r="B67">
        <v>53</v>
      </c>
      <c r="C67" t="s">
        <v>13</v>
      </c>
      <c r="D67" t="s">
        <v>49</v>
      </c>
      <c r="E67" s="2">
        <v>46071</v>
      </c>
      <c r="F67" t="s">
        <v>16</v>
      </c>
      <c r="G67" t="s">
        <v>17</v>
      </c>
      <c r="H67">
        <v>7</v>
      </c>
      <c r="I67" t="s">
        <v>20</v>
      </c>
      <c r="J67" s="1">
        <v>30</v>
      </c>
      <c r="K67" s="3">
        <v>279000</v>
      </c>
      <c r="L67">
        <v>4</v>
      </c>
      <c r="M67" t="str" cm="1">
        <f t="array" ref="M67">_xlfn.IFS(Table1[[#This Row],[Age]]="", "Missing", Table1[[#This Row],[Age]]&lt;20, "Below 20", Table1[[#This Row],[Age]]&lt;30, "20-29", Table1[[#This Row],[Age]]&lt;40, "30-39", Table1[[#This Row],[Age]]&lt;50, "40-49", Table1[[#This Row],[Age]]&lt;60, "50-59", Table1[[#This Row],[Age]]&gt;=60, "60+")</f>
        <v>50-59</v>
      </c>
      <c r="N67" t="str" cm="1">
        <f t="array" ref="N67">_xlfn.IFS(Table1[[#This Row],[Days_to_Activate]]&lt;=3, "Fast", Table1[[#This Row],[Days_to_Activate]]&lt;=7, "Moderate", Table1[[#This Row],[Days_to_Activate]]&lt;=14, "Slow", Table1[[#This Row],[Days_to_Activate]]&gt;14, "Outlier")</f>
        <v>Moderate</v>
      </c>
    </row>
    <row r="68" spans="1:14" x14ac:dyDescent="0.25">
      <c r="A68" t="s">
        <v>127</v>
      </c>
      <c r="B68">
        <v>46</v>
      </c>
      <c r="C68" t="s">
        <v>13</v>
      </c>
      <c r="D68" t="s">
        <v>14</v>
      </c>
      <c r="E68" s="2">
        <v>46079</v>
      </c>
      <c r="F68" t="s">
        <v>16</v>
      </c>
      <c r="G68" t="s">
        <v>17</v>
      </c>
      <c r="H68">
        <v>10</v>
      </c>
      <c r="I68" t="s">
        <v>20</v>
      </c>
      <c r="J68" s="1">
        <v>60</v>
      </c>
      <c r="K68" s="3">
        <v>634080</v>
      </c>
      <c r="L68">
        <v>3</v>
      </c>
      <c r="M68" t="str" cm="1">
        <f t="array" ref="M68">_xlfn.IFS(Table1[[#This Row],[Age]]="", "Missing", Table1[[#This Row],[Age]]&lt;20, "Below 20", Table1[[#This Row],[Age]]&lt;30, "20-29", Table1[[#This Row],[Age]]&lt;40, "30-39", Table1[[#This Row],[Age]]&lt;50, "40-49", Table1[[#This Row],[Age]]&lt;60, "50-59", Table1[[#This Row],[Age]]&gt;=60, "60+")</f>
        <v>40-49</v>
      </c>
      <c r="N68" t="str" cm="1">
        <f t="array" ref="N68">_xlfn.IFS(Table1[[#This Row],[Days_to_Activate]]&lt;=3, "Fast", Table1[[#This Row],[Days_to_Activate]]&lt;=7, "Moderate", Table1[[#This Row],[Days_to_Activate]]&lt;=14, "Slow", Table1[[#This Row],[Days_to_Activate]]&gt;14, "Outlier")</f>
        <v>Slow</v>
      </c>
    </row>
    <row r="69" spans="1:14" x14ac:dyDescent="0.25">
      <c r="A69" t="s">
        <v>128</v>
      </c>
      <c r="B69">
        <v>45</v>
      </c>
      <c r="C69" t="s">
        <v>22</v>
      </c>
      <c r="D69" t="s">
        <v>14</v>
      </c>
      <c r="E69" s="2">
        <v>46139</v>
      </c>
      <c r="F69" t="s">
        <v>16</v>
      </c>
      <c r="G69" t="s">
        <v>17</v>
      </c>
      <c r="H69">
        <v>1</v>
      </c>
      <c r="I69" t="s">
        <v>18</v>
      </c>
      <c r="J69" s="1">
        <v>40</v>
      </c>
      <c r="K69" s="3">
        <v>138320</v>
      </c>
      <c r="L69">
        <v>5</v>
      </c>
      <c r="M69" t="str" cm="1">
        <f t="array" ref="M69">_xlfn.IFS(Table1[[#This Row],[Age]]="", "Missing", Table1[[#This Row],[Age]]&lt;20, "Below 20", Table1[[#This Row],[Age]]&lt;30, "20-29", Table1[[#This Row],[Age]]&lt;40, "30-39", Table1[[#This Row],[Age]]&lt;50, "40-49", Table1[[#This Row],[Age]]&lt;60, "50-59", Table1[[#This Row],[Age]]&gt;=60, "60+")</f>
        <v>40-49</v>
      </c>
      <c r="N69" t="str" cm="1">
        <f t="array" ref="N69">_xlfn.IFS(Table1[[#This Row],[Days_to_Activate]]&lt;=3, "Fast", Table1[[#This Row],[Days_to_Activate]]&lt;=7, "Moderate", Table1[[#This Row],[Days_to_Activate]]&lt;=14, "Slow", Table1[[#This Row],[Days_to_Activate]]&gt;14, "Outlier")</f>
        <v>Fast</v>
      </c>
    </row>
    <row r="70" spans="1:14" x14ac:dyDescent="0.25">
      <c r="A70" t="s">
        <v>129</v>
      </c>
      <c r="B70">
        <v>52</v>
      </c>
      <c r="C70" t="s">
        <v>13</v>
      </c>
      <c r="D70" t="s">
        <v>14</v>
      </c>
      <c r="E70" s="2">
        <v>46146</v>
      </c>
      <c r="F70" t="s">
        <v>16</v>
      </c>
      <c r="G70" t="s">
        <v>17</v>
      </c>
      <c r="H70">
        <v>12</v>
      </c>
      <c r="I70" t="s">
        <v>20</v>
      </c>
      <c r="J70" s="1">
        <v>36</v>
      </c>
      <c r="K70" s="3">
        <v>113292</v>
      </c>
      <c r="L70">
        <v>2</v>
      </c>
      <c r="M70" t="str" cm="1">
        <f t="array" ref="M70">_xlfn.IFS(Table1[[#This Row],[Age]]="", "Missing", Table1[[#This Row],[Age]]&lt;20, "Below 20", Table1[[#This Row],[Age]]&lt;30, "20-29", Table1[[#This Row],[Age]]&lt;40, "30-39", Table1[[#This Row],[Age]]&lt;50, "40-49", Table1[[#This Row],[Age]]&lt;60, "50-59", Table1[[#This Row],[Age]]&gt;=60, "60+")</f>
        <v>50-59</v>
      </c>
      <c r="N70" t="str" cm="1">
        <f t="array" ref="N70">_xlfn.IFS(Table1[[#This Row],[Days_to_Activate]]&lt;=3, "Fast", Table1[[#This Row],[Days_to_Activate]]&lt;=7, "Moderate", Table1[[#This Row],[Days_to_Activate]]&lt;=14, "Slow", Table1[[#This Row],[Days_to_Activate]]&gt;14, "Outlier")</f>
        <v>Slow</v>
      </c>
    </row>
    <row r="71" spans="1:14" x14ac:dyDescent="0.25">
      <c r="A71" t="s">
        <v>131</v>
      </c>
      <c r="B71">
        <v>36</v>
      </c>
      <c r="C71" t="s">
        <v>13</v>
      </c>
      <c r="D71" t="s">
        <v>14</v>
      </c>
      <c r="E71" s="2">
        <v>46100</v>
      </c>
      <c r="F71" t="s">
        <v>16</v>
      </c>
      <c r="G71" t="s">
        <v>17</v>
      </c>
      <c r="H71">
        <v>4</v>
      </c>
      <c r="I71" t="s">
        <v>20</v>
      </c>
      <c r="J71" s="1">
        <v>6</v>
      </c>
      <c r="K71" s="3">
        <v>63396</v>
      </c>
      <c r="L71">
        <v>3</v>
      </c>
      <c r="M71" t="str" cm="1">
        <f t="array" ref="M71">_xlfn.IFS(Table1[[#This Row],[Age]]="", "Missing", Table1[[#This Row],[Age]]&lt;20, "Below 20", Table1[[#This Row],[Age]]&lt;30, "20-29", Table1[[#This Row],[Age]]&lt;40, "30-39", Table1[[#This Row],[Age]]&lt;50, "40-49", Table1[[#This Row],[Age]]&lt;60, "50-59", Table1[[#This Row],[Age]]&gt;=60, "60+")</f>
        <v>30-39</v>
      </c>
      <c r="N71" t="str" cm="1">
        <f t="array" ref="N71">_xlfn.IFS(Table1[[#This Row],[Days_to_Activate]]&lt;=3, "Fast", Table1[[#This Row],[Days_to_Activate]]&lt;=7, "Moderate", Table1[[#This Row],[Days_to_Activate]]&lt;=14, "Slow", Table1[[#This Row],[Days_to_Activate]]&gt;14, "Outlier")</f>
        <v>Moderate</v>
      </c>
    </row>
    <row r="72" spans="1:14" x14ac:dyDescent="0.25">
      <c r="A72" t="s">
        <v>132</v>
      </c>
      <c r="B72">
        <v>26</v>
      </c>
      <c r="C72" t="s">
        <v>22</v>
      </c>
      <c r="D72" t="s">
        <v>14</v>
      </c>
      <c r="E72" s="2">
        <v>46026</v>
      </c>
      <c r="F72" t="s">
        <v>16</v>
      </c>
      <c r="G72" t="s">
        <v>17</v>
      </c>
      <c r="H72">
        <v>7</v>
      </c>
      <c r="I72" t="s">
        <v>20</v>
      </c>
      <c r="J72" s="1">
        <v>6</v>
      </c>
      <c r="K72" s="3">
        <v>33816</v>
      </c>
      <c r="L72">
        <v>4</v>
      </c>
      <c r="M72" t="str" cm="1">
        <f t="array" ref="M72">_xlfn.IFS(Table1[[#This Row],[Age]]="", "Missing", Table1[[#This Row],[Age]]&lt;20, "Below 20", Table1[[#This Row],[Age]]&lt;30, "20-29", Table1[[#This Row],[Age]]&lt;40, "30-39", Table1[[#This Row],[Age]]&lt;50, "40-49", Table1[[#This Row],[Age]]&lt;60, "50-59", Table1[[#This Row],[Age]]&gt;=60, "60+")</f>
        <v>20-29</v>
      </c>
      <c r="N72" t="str" cm="1">
        <f t="array" ref="N72">_xlfn.IFS(Table1[[#This Row],[Days_to_Activate]]&lt;=3, "Fast", Table1[[#This Row],[Days_to_Activate]]&lt;=7, "Moderate", Table1[[#This Row],[Days_to_Activate]]&lt;=14, "Slow", Table1[[#This Row],[Days_to_Activate]]&gt;14, "Outlier")</f>
        <v>Moderate</v>
      </c>
    </row>
    <row r="73" spans="1:14" x14ac:dyDescent="0.25">
      <c r="A73" t="s">
        <v>133</v>
      </c>
      <c r="B73">
        <v>25</v>
      </c>
      <c r="C73" t="s">
        <v>13</v>
      </c>
      <c r="D73" t="s">
        <v>49</v>
      </c>
      <c r="E73" s="2">
        <v>46041</v>
      </c>
      <c r="F73" t="s">
        <v>16</v>
      </c>
      <c r="G73" t="s">
        <v>17</v>
      </c>
      <c r="H73">
        <v>2</v>
      </c>
      <c r="I73" t="s">
        <v>20</v>
      </c>
      <c r="J73" s="1">
        <v>72</v>
      </c>
      <c r="K73" s="3">
        <v>466416</v>
      </c>
      <c r="L73">
        <v>3</v>
      </c>
      <c r="M73" t="str" cm="1">
        <f t="array" ref="M73">_xlfn.IFS(Table1[[#This Row],[Age]]="", "Missing", Table1[[#This Row],[Age]]&lt;20, "Below 20", Table1[[#This Row],[Age]]&lt;30, "20-29", Table1[[#This Row],[Age]]&lt;40, "30-39", Table1[[#This Row],[Age]]&lt;50, "40-49", Table1[[#This Row],[Age]]&lt;60, "50-59", Table1[[#This Row],[Age]]&gt;=60, "60+")</f>
        <v>20-29</v>
      </c>
      <c r="N73" t="str" cm="1">
        <f t="array" ref="N73">_xlfn.IFS(Table1[[#This Row],[Days_to_Activate]]&lt;=3, "Fast", Table1[[#This Row],[Days_to_Activate]]&lt;=7, "Moderate", Table1[[#This Row],[Days_to_Activate]]&lt;=14, "Slow", Table1[[#This Row],[Days_to_Activate]]&gt;14, "Outlier")</f>
        <v>Fast</v>
      </c>
    </row>
    <row r="74" spans="1:14" x14ac:dyDescent="0.25">
      <c r="A74" t="s">
        <v>135</v>
      </c>
      <c r="B74">
        <v>33</v>
      </c>
      <c r="C74" t="s">
        <v>13</v>
      </c>
      <c r="D74" t="s">
        <v>26</v>
      </c>
      <c r="E74" s="2">
        <v>46129</v>
      </c>
      <c r="F74" t="s">
        <v>16</v>
      </c>
      <c r="G74" t="s">
        <v>17</v>
      </c>
      <c r="H74">
        <v>3</v>
      </c>
      <c r="I74" t="s">
        <v>18</v>
      </c>
      <c r="J74" s="1">
        <v>48</v>
      </c>
      <c r="K74" s="3">
        <v>426288</v>
      </c>
      <c r="L74">
        <v>4</v>
      </c>
      <c r="M74" t="str" cm="1">
        <f t="array" ref="M74">_xlfn.IFS(Table1[[#This Row],[Age]]="", "Missing", Table1[[#This Row],[Age]]&lt;20, "Below 20", Table1[[#This Row],[Age]]&lt;30, "20-29", Table1[[#This Row],[Age]]&lt;40, "30-39", Table1[[#This Row],[Age]]&lt;50, "40-49", Table1[[#This Row],[Age]]&lt;60, "50-59", Table1[[#This Row],[Age]]&gt;=60, "60+")</f>
        <v>30-39</v>
      </c>
      <c r="N74" t="str" cm="1">
        <f t="array" ref="N74">_xlfn.IFS(Table1[[#This Row],[Days_to_Activate]]&lt;=3, "Fast", Table1[[#This Row],[Days_to_Activate]]&lt;=7, "Moderate", Table1[[#This Row],[Days_to_Activate]]&lt;=14, "Slow", Table1[[#This Row],[Days_to_Activate]]&gt;14, "Outlier")</f>
        <v>Fast</v>
      </c>
    </row>
    <row r="75" spans="1:14" x14ac:dyDescent="0.25">
      <c r="A75" t="s">
        <v>137</v>
      </c>
      <c r="B75">
        <v>37</v>
      </c>
      <c r="C75" t="s">
        <v>22</v>
      </c>
      <c r="D75" t="s">
        <v>14</v>
      </c>
      <c r="E75" s="2">
        <v>46181</v>
      </c>
      <c r="F75" t="s">
        <v>16</v>
      </c>
      <c r="G75" t="s">
        <v>37</v>
      </c>
      <c r="I75" t="s">
        <v>20</v>
      </c>
      <c r="J75" s="1">
        <v>1</v>
      </c>
      <c r="K75" s="3">
        <v>11748</v>
      </c>
      <c r="L75">
        <v>2</v>
      </c>
      <c r="M75" t="str" cm="1">
        <f t="array" ref="M75">_xlfn.IFS(Table1[[#This Row],[Age]]="", "Missing", Table1[[#This Row],[Age]]&lt;20, "Below 20", Table1[[#This Row],[Age]]&lt;30, "20-29", Table1[[#This Row],[Age]]&lt;40, "30-39", Table1[[#This Row],[Age]]&lt;50, "40-49", Table1[[#This Row],[Age]]&lt;60, "50-59", Table1[[#This Row],[Age]]&gt;=60, "60+")</f>
        <v>30-39</v>
      </c>
      <c r="N75" t="str" cm="1">
        <f t="array" ref="N75">_xlfn.IFS(Table1[[#This Row],[Days_to_Activate]]&lt;=3, "Fast", Table1[[#This Row],[Days_to_Activate]]&lt;=7, "Moderate", Table1[[#This Row],[Days_to_Activate]]&lt;=14, "Slow", Table1[[#This Row],[Days_to_Activate]]&gt;14, "Outlier")</f>
        <v>Fast</v>
      </c>
    </row>
    <row r="76" spans="1:14" x14ac:dyDescent="0.25">
      <c r="A76" t="s">
        <v>139</v>
      </c>
      <c r="B76">
        <v>34</v>
      </c>
      <c r="C76" t="s">
        <v>13</v>
      </c>
      <c r="D76" t="s">
        <v>14</v>
      </c>
      <c r="E76" s="2">
        <v>46067</v>
      </c>
      <c r="F76" t="s">
        <v>16</v>
      </c>
      <c r="G76" t="s">
        <v>17</v>
      </c>
      <c r="H76">
        <v>6</v>
      </c>
      <c r="I76" t="s">
        <v>20</v>
      </c>
      <c r="J76" s="1">
        <v>76</v>
      </c>
      <c r="K76" s="3">
        <v>699124</v>
      </c>
      <c r="L76">
        <v>3</v>
      </c>
      <c r="M76" t="str" cm="1">
        <f t="array" ref="M76">_xlfn.IFS(Table1[[#This Row],[Age]]="", "Missing", Table1[[#This Row],[Age]]&lt;20, "Below 20", Table1[[#This Row],[Age]]&lt;30, "20-29", Table1[[#This Row],[Age]]&lt;40, "30-39", Table1[[#This Row],[Age]]&lt;50, "40-49", Table1[[#This Row],[Age]]&lt;60, "50-59", Table1[[#This Row],[Age]]&gt;=60, "60+")</f>
        <v>30-39</v>
      </c>
      <c r="N76" t="str" cm="1">
        <f t="array" ref="N76">_xlfn.IFS(Table1[[#This Row],[Days_to_Activate]]&lt;=3, "Fast", Table1[[#This Row],[Days_to_Activate]]&lt;=7, "Moderate", Table1[[#This Row],[Days_to_Activate]]&lt;=14, "Slow", Table1[[#This Row],[Days_to_Activate]]&gt;14, "Outlier")</f>
        <v>Moderate</v>
      </c>
    </row>
    <row r="77" spans="1:14" x14ac:dyDescent="0.25">
      <c r="A77" t="s">
        <v>140</v>
      </c>
      <c r="B77">
        <v>45</v>
      </c>
      <c r="C77" t="s">
        <v>13</v>
      </c>
      <c r="D77" t="s">
        <v>49</v>
      </c>
      <c r="E77" s="2">
        <v>46188</v>
      </c>
      <c r="F77" t="s">
        <v>16</v>
      </c>
      <c r="G77" t="s">
        <v>17</v>
      </c>
      <c r="H77">
        <v>2</v>
      </c>
      <c r="I77" t="s">
        <v>20</v>
      </c>
      <c r="J77" s="1">
        <v>21</v>
      </c>
      <c r="K77" s="3">
        <v>137319</v>
      </c>
      <c r="L77">
        <v>5</v>
      </c>
      <c r="M77" t="str" cm="1">
        <f t="array" ref="M77">_xlfn.IFS(Table1[[#This Row],[Age]]="", "Missing", Table1[[#This Row],[Age]]&lt;20, "Below 20", Table1[[#This Row],[Age]]&lt;30, "20-29", Table1[[#This Row],[Age]]&lt;40, "30-39", Table1[[#This Row],[Age]]&lt;50, "40-49", Table1[[#This Row],[Age]]&lt;60, "50-59", Table1[[#This Row],[Age]]&gt;=60, "60+")</f>
        <v>40-49</v>
      </c>
      <c r="N77" t="str" cm="1">
        <f t="array" ref="N77">_xlfn.IFS(Table1[[#This Row],[Days_to_Activate]]&lt;=3, "Fast", Table1[[#This Row],[Days_to_Activate]]&lt;=7, "Moderate", Table1[[#This Row],[Days_to_Activate]]&lt;=14, "Slow", Table1[[#This Row],[Days_to_Activate]]&gt;14, "Outlier")</f>
        <v>Fast</v>
      </c>
    </row>
    <row r="78" spans="1:14" x14ac:dyDescent="0.25">
      <c r="A78" t="s">
        <v>142</v>
      </c>
      <c r="B78">
        <v>54</v>
      </c>
      <c r="C78" t="s">
        <v>22</v>
      </c>
      <c r="D78" t="s">
        <v>49</v>
      </c>
      <c r="E78" s="2">
        <v>46142</v>
      </c>
      <c r="F78" t="s">
        <v>16</v>
      </c>
      <c r="G78" t="s">
        <v>17</v>
      </c>
      <c r="H78">
        <v>4</v>
      </c>
      <c r="I78" t="s">
        <v>20</v>
      </c>
      <c r="J78" s="1">
        <v>63</v>
      </c>
      <c r="K78" s="3">
        <v>546336</v>
      </c>
      <c r="L78">
        <v>1</v>
      </c>
      <c r="M78" t="str" cm="1">
        <f t="array" ref="M78">_xlfn.IFS(Table1[[#This Row],[Age]]="", "Missing", Table1[[#This Row],[Age]]&lt;20, "Below 20", Table1[[#This Row],[Age]]&lt;30, "20-29", Table1[[#This Row],[Age]]&lt;40, "30-39", Table1[[#This Row],[Age]]&lt;50, "40-49", Table1[[#This Row],[Age]]&lt;60, "50-59", Table1[[#This Row],[Age]]&gt;=60, "60+")</f>
        <v>50-59</v>
      </c>
      <c r="N78" t="str" cm="1">
        <f t="array" ref="N78">_xlfn.IFS(Table1[[#This Row],[Days_to_Activate]]&lt;=3, "Fast", Table1[[#This Row],[Days_to_Activate]]&lt;=7, "Moderate", Table1[[#This Row],[Days_to_Activate]]&lt;=14, "Slow", Table1[[#This Row],[Days_to_Activate]]&gt;14, "Outlier")</f>
        <v>Moderate</v>
      </c>
    </row>
    <row r="79" spans="1:14" x14ac:dyDescent="0.25">
      <c r="A79" t="s">
        <v>143</v>
      </c>
      <c r="B79">
        <v>56</v>
      </c>
      <c r="C79" t="s">
        <v>13</v>
      </c>
      <c r="D79" t="s">
        <v>28</v>
      </c>
      <c r="E79" s="2">
        <v>46105</v>
      </c>
      <c r="F79" t="s">
        <v>16</v>
      </c>
      <c r="G79" t="s">
        <v>17</v>
      </c>
      <c r="H79">
        <v>3</v>
      </c>
      <c r="I79" t="s">
        <v>43</v>
      </c>
      <c r="J79" s="1">
        <v>73</v>
      </c>
      <c r="K79" s="3">
        <v>811687</v>
      </c>
      <c r="L79">
        <v>3</v>
      </c>
      <c r="M79" t="str" cm="1">
        <f t="array" ref="M79">_xlfn.IFS(Table1[[#This Row],[Age]]="", "Missing", Table1[[#This Row],[Age]]&lt;20, "Below 20", Table1[[#This Row],[Age]]&lt;30, "20-29", Table1[[#This Row],[Age]]&lt;40, "30-39", Table1[[#This Row],[Age]]&lt;50, "40-49", Table1[[#This Row],[Age]]&lt;60, "50-59", Table1[[#This Row],[Age]]&gt;=60, "60+")</f>
        <v>50-59</v>
      </c>
      <c r="N79" t="str" cm="1">
        <f t="array" ref="N79">_xlfn.IFS(Table1[[#This Row],[Days_to_Activate]]&lt;=3, "Fast", Table1[[#This Row],[Days_to_Activate]]&lt;=7, "Moderate", Table1[[#This Row],[Days_to_Activate]]&lt;=14, "Slow", Table1[[#This Row],[Days_to_Activate]]&gt;14, "Outlier")</f>
        <v>Fast</v>
      </c>
    </row>
    <row r="80" spans="1:14" x14ac:dyDescent="0.25">
      <c r="A80" t="s">
        <v>145</v>
      </c>
      <c r="B80">
        <v>35</v>
      </c>
      <c r="C80" t="s">
        <v>13</v>
      </c>
      <c r="D80" t="s">
        <v>30</v>
      </c>
      <c r="E80" s="2">
        <v>46067</v>
      </c>
      <c r="F80" t="s">
        <v>16</v>
      </c>
      <c r="G80" t="s">
        <v>17</v>
      </c>
      <c r="H80">
        <v>14</v>
      </c>
      <c r="I80" t="s">
        <v>20</v>
      </c>
      <c r="J80" s="1">
        <v>74</v>
      </c>
      <c r="K80" s="3">
        <v>639434</v>
      </c>
      <c r="L80">
        <v>4</v>
      </c>
      <c r="M80" t="str" cm="1">
        <f t="array" ref="M80">_xlfn.IFS(Table1[[#This Row],[Age]]="", "Missing", Table1[[#This Row],[Age]]&lt;20, "Below 20", Table1[[#This Row],[Age]]&lt;30, "20-29", Table1[[#This Row],[Age]]&lt;40, "30-39", Table1[[#This Row],[Age]]&lt;50, "40-49", Table1[[#This Row],[Age]]&lt;60, "50-59", Table1[[#This Row],[Age]]&gt;=60, "60+")</f>
        <v>30-39</v>
      </c>
      <c r="N80" t="str" cm="1">
        <f t="array" ref="N80">_xlfn.IFS(Table1[[#This Row],[Days_to_Activate]]&lt;=3, "Fast", Table1[[#This Row],[Days_to_Activate]]&lt;=7, "Moderate", Table1[[#This Row],[Days_to_Activate]]&lt;=14, "Slow", Table1[[#This Row],[Days_to_Activate]]&gt;14, "Outlier")</f>
        <v>Slow</v>
      </c>
    </row>
    <row r="81" spans="1:14" x14ac:dyDescent="0.25">
      <c r="A81" t="s">
        <v>146</v>
      </c>
      <c r="B81">
        <v>23</v>
      </c>
      <c r="C81" t="s">
        <v>22</v>
      </c>
      <c r="D81" t="s">
        <v>14</v>
      </c>
      <c r="E81" s="2">
        <v>46108</v>
      </c>
      <c r="F81" t="s">
        <v>16</v>
      </c>
      <c r="G81" t="s">
        <v>17</v>
      </c>
      <c r="H81">
        <v>2</v>
      </c>
      <c r="I81" t="s">
        <v>20</v>
      </c>
      <c r="J81" s="1">
        <v>63</v>
      </c>
      <c r="K81" s="3">
        <v>391986</v>
      </c>
      <c r="L81">
        <v>5</v>
      </c>
      <c r="M81" t="str" cm="1">
        <f t="array" ref="M81">_xlfn.IFS(Table1[[#This Row],[Age]]="", "Missing", Table1[[#This Row],[Age]]&lt;20, "Below 20", Table1[[#This Row],[Age]]&lt;30, "20-29", Table1[[#This Row],[Age]]&lt;40, "30-39", Table1[[#This Row],[Age]]&lt;50, "40-49", Table1[[#This Row],[Age]]&lt;60, "50-59", Table1[[#This Row],[Age]]&gt;=60, "60+")</f>
        <v>20-29</v>
      </c>
      <c r="N81" t="str" cm="1">
        <f t="array" ref="N81">_xlfn.IFS(Table1[[#This Row],[Days_to_Activate]]&lt;=3, "Fast", Table1[[#This Row],[Days_to_Activate]]&lt;=7, "Moderate", Table1[[#This Row],[Days_to_Activate]]&lt;=14, "Slow", Table1[[#This Row],[Days_to_Activate]]&gt;14, "Outlier")</f>
        <v>Fast</v>
      </c>
    </row>
    <row r="82" spans="1:14" x14ac:dyDescent="0.25">
      <c r="A82" t="s">
        <v>147</v>
      </c>
      <c r="B82">
        <v>43</v>
      </c>
      <c r="C82" t="s">
        <v>13</v>
      </c>
      <c r="D82" t="s">
        <v>49</v>
      </c>
      <c r="E82" s="2">
        <v>46103</v>
      </c>
      <c r="F82" t="s">
        <v>16</v>
      </c>
      <c r="G82" t="s">
        <v>17</v>
      </c>
      <c r="H82">
        <v>12</v>
      </c>
      <c r="I82" t="s">
        <v>20</v>
      </c>
      <c r="J82" s="1">
        <v>65</v>
      </c>
      <c r="K82" s="3">
        <v>98670</v>
      </c>
      <c r="L82">
        <v>4</v>
      </c>
      <c r="M82" t="str" cm="1">
        <f t="array" ref="M82">_xlfn.IFS(Table1[[#This Row],[Age]]="", "Missing", Table1[[#This Row],[Age]]&lt;20, "Below 20", Table1[[#This Row],[Age]]&lt;30, "20-29", Table1[[#This Row],[Age]]&lt;40, "30-39", Table1[[#This Row],[Age]]&lt;50, "40-49", Table1[[#This Row],[Age]]&lt;60, "50-59", Table1[[#This Row],[Age]]&gt;=60, "60+")</f>
        <v>40-49</v>
      </c>
      <c r="N82" t="str" cm="1">
        <f t="array" ref="N82">_xlfn.IFS(Table1[[#This Row],[Days_to_Activate]]&lt;=3, "Fast", Table1[[#This Row],[Days_to_Activate]]&lt;=7, "Moderate", Table1[[#This Row],[Days_to_Activate]]&lt;=14, "Slow", Table1[[#This Row],[Days_to_Activate]]&gt;14, "Outlier")</f>
        <v>Slow</v>
      </c>
    </row>
    <row r="83" spans="1:14" x14ac:dyDescent="0.25">
      <c r="A83" t="s">
        <v>148</v>
      </c>
      <c r="B83">
        <v>44</v>
      </c>
      <c r="C83" t="s">
        <v>13</v>
      </c>
      <c r="D83" t="s">
        <v>14</v>
      </c>
      <c r="E83" s="2">
        <v>46115</v>
      </c>
      <c r="F83" t="s">
        <v>16</v>
      </c>
      <c r="G83" t="s">
        <v>17</v>
      </c>
      <c r="H83">
        <v>7</v>
      </c>
      <c r="I83" t="s">
        <v>18</v>
      </c>
      <c r="J83" s="1">
        <v>26</v>
      </c>
      <c r="K83" s="3">
        <v>152750</v>
      </c>
      <c r="L83">
        <v>2</v>
      </c>
      <c r="M83" t="str" cm="1">
        <f t="array" ref="M83">_xlfn.IFS(Table1[[#This Row],[Age]]="", "Missing", Table1[[#This Row],[Age]]&lt;20, "Below 20", Table1[[#This Row],[Age]]&lt;30, "20-29", Table1[[#This Row],[Age]]&lt;40, "30-39", Table1[[#This Row],[Age]]&lt;50, "40-49", Table1[[#This Row],[Age]]&lt;60, "50-59", Table1[[#This Row],[Age]]&gt;=60, "60+")</f>
        <v>40-49</v>
      </c>
      <c r="N83" t="str" cm="1">
        <f t="array" ref="N83">_xlfn.IFS(Table1[[#This Row],[Days_to_Activate]]&lt;=3, "Fast", Table1[[#This Row],[Days_to_Activate]]&lt;=7, "Moderate", Table1[[#This Row],[Days_to_Activate]]&lt;=14, "Slow", Table1[[#This Row],[Days_to_Activate]]&gt;14, "Outlier")</f>
        <v>Moderate</v>
      </c>
    </row>
    <row r="84" spans="1:14" x14ac:dyDescent="0.25">
      <c r="A84" t="s">
        <v>150</v>
      </c>
      <c r="B84">
        <v>36</v>
      </c>
      <c r="C84" t="s">
        <v>22</v>
      </c>
      <c r="D84" t="s">
        <v>28</v>
      </c>
      <c r="E84" s="2">
        <v>46147</v>
      </c>
      <c r="F84" t="s">
        <v>16</v>
      </c>
      <c r="G84" t="s">
        <v>37</v>
      </c>
      <c r="I84" t="s">
        <v>18</v>
      </c>
      <c r="J84" s="1">
        <v>1</v>
      </c>
      <c r="K84" s="3">
        <v>4094</v>
      </c>
      <c r="L84">
        <v>3</v>
      </c>
      <c r="M84" t="str" cm="1">
        <f t="array" ref="M84">_xlfn.IFS(Table1[[#This Row],[Age]]="", "Missing", Table1[[#This Row],[Age]]&lt;20, "Below 20", Table1[[#This Row],[Age]]&lt;30, "20-29", Table1[[#This Row],[Age]]&lt;40, "30-39", Table1[[#This Row],[Age]]&lt;50, "40-49", Table1[[#This Row],[Age]]&lt;60, "50-59", Table1[[#This Row],[Age]]&gt;=60, "60+")</f>
        <v>30-39</v>
      </c>
      <c r="N84" t="str" cm="1">
        <f t="array" ref="N84">_xlfn.IFS(Table1[[#This Row],[Days_to_Activate]]&lt;=3, "Fast", Table1[[#This Row],[Days_to_Activate]]&lt;=7, "Moderate", Table1[[#This Row],[Days_to_Activate]]&lt;=14, "Slow", Table1[[#This Row],[Days_to_Activate]]&gt;14, "Outlier")</f>
        <v>Fast</v>
      </c>
    </row>
    <row r="85" spans="1:14" x14ac:dyDescent="0.25">
      <c r="A85" t="s">
        <v>151</v>
      </c>
      <c r="B85">
        <v>53</v>
      </c>
      <c r="C85" t="s">
        <v>13</v>
      </c>
      <c r="D85" t="s">
        <v>26</v>
      </c>
      <c r="E85" s="2">
        <v>46046</v>
      </c>
      <c r="F85" t="s">
        <v>16</v>
      </c>
      <c r="G85" t="s">
        <v>17</v>
      </c>
      <c r="H85">
        <v>1</v>
      </c>
      <c r="I85" t="s">
        <v>20</v>
      </c>
      <c r="J85" s="1">
        <v>15</v>
      </c>
      <c r="K85" s="3">
        <v>60330</v>
      </c>
      <c r="L85">
        <v>4</v>
      </c>
      <c r="M85" t="str" cm="1">
        <f t="array" ref="M85">_xlfn.IFS(Table1[[#This Row],[Age]]="", "Missing", Table1[[#This Row],[Age]]&lt;20, "Below 20", Table1[[#This Row],[Age]]&lt;30, "20-29", Table1[[#This Row],[Age]]&lt;40, "30-39", Table1[[#This Row],[Age]]&lt;50, "40-49", Table1[[#This Row],[Age]]&lt;60, "50-59", Table1[[#This Row],[Age]]&gt;=60, "60+")</f>
        <v>50-59</v>
      </c>
      <c r="N85" t="str" cm="1">
        <f t="array" ref="N85">_xlfn.IFS(Table1[[#This Row],[Days_to_Activate]]&lt;=3, "Fast", Table1[[#This Row],[Days_to_Activate]]&lt;=7, "Moderate", Table1[[#This Row],[Days_to_Activate]]&lt;=14, "Slow", Table1[[#This Row],[Days_to_Activate]]&gt;14, "Outlier")</f>
        <v>Fast</v>
      </c>
    </row>
    <row r="86" spans="1:14" x14ac:dyDescent="0.25">
      <c r="A86" t="s">
        <v>153</v>
      </c>
      <c r="B86">
        <v>36</v>
      </c>
      <c r="C86" t="s">
        <v>22</v>
      </c>
      <c r="D86" t="s">
        <v>49</v>
      </c>
      <c r="E86" s="2">
        <v>46146</v>
      </c>
      <c r="F86" t="s">
        <v>36</v>
      </c>
      <c r="G86" t="s">
        <v>37</v>
      </c>
      <c r="I86" t="s">
        <v>20</v>
      </c>
      <c r="J86" s="1">
        <v>3</v>
      </c>
      <c r="K86" s="3">
        <v>13866</v>
      </c>
      <c r="L86">
        <v>2</v>
      </c>
      <c r="M86" t="str" cm="1">
        <f t="array" ref="M86">_xlfn.IFS(Table1[[#This Row],[Age]]="", "Missing", Table1[[#This Row],[Age]]&lt;20, "Below 20", Table1[[#This Row],[Age]]&lt;30, "20-29", Table1[[#This Row],[Age]]&lt;40, "30-39", Table1[[#This Row],[Age]]&lt;50, "40-49", Table1[[#This Row],[Age]]&lt;60, "50-59", Table1[[#This Row],[Age]]&gt;=60, "60+")</f>
        <v>30-39</v>
      </c>
      <c r="N86" t="str" cm="1">
        <f t="array" ref="N86">_xlfn.IFS(Table1[[#This Row],[Days_to_Activate]]&lt;=3, "Fast", Table1[[#This Row],[Days_to_Activate]]&lt;=7, "Moderate", Table1[[#This Row],[Days_to_Activate]]&lt;=14, "Slow", Table1[[#This Row],[Days_to_Activate]]&gt;14, "Outlier")</f>
        <v>Fast</v>
      </c>
    </row>
    <row r="87" spans="1:14" x14ac:dyDescent="0.25">
      <c r="A87" t="s">
        <v>154</v>
      </c>
      <c r="B87">
        <v>22</v>
      </c>
      <c r="C87" t="s">
        <v>22</v>
      </c>
      <c r="D87" t="s">
        <v>23</v>
      </c>
      <c r="E87" s="2">
        <v>46129</v>
      </c>
      <c r="F87" t="s">
        <v>16</v>
      </c>
      <c r="G87" t="s">
        <v>17</v>
      </c>
      <c r="H87">
        <v>4</v>
      </c>
      <c r="I87" t="s">
        <v>18</v>
      </c>
      <c r="J87" s="1">
        <v>36</v>
      </c>
      <c r="K87" s="3">
        <v>230076</v>
      </c>
      <c r="L87">
        <v>4</v>
      </c>
      <c r="M87" t="str" cm="1">
        <f t="array" ref="M87">_xlfn.IFS(Table1[[#This Row],[Age]]="", "Missing", Table1[[#This Row],[Age]]&lt;20, "Below 20", Table1[[#This Row],[Age]]&lt;30, "20-29", Table1[[#This Row],[Age]]&lt;40, "30-39", Table1[[#This Row],[Age]]&lt;50, "40-49", Table1[[#This Row],[Age]]&lt;60, "50-59", Table1[[#This Row],[Age]]&gt;=60, "60+")</f>
        <v>20-29</v>
      </c>
      <c r="N87" t="str" cm="1">
        <f t="array" ref="N87">_xlfn.IFS(Table1[[#This Row],[Days_to_Activate]]&lt;=3, "Fast", Table1[[#This Row],[Days_to_Activate]]&lt;=7, "Moderate", Table1[[#This Row],[Days_to_Activate]]&lt;=14, "Slow", Table1[[#This Row],[Days_to_Activate]]&gt;14, "Outlier")</f>
        <v>Moderate</v>
      </c>
    </row>
    <row r="88" spans="1:14" x14ac:dyDescent="0.25">
      <c r="A88" t="s">
        <v>155</v>
      </c>
      <c r="B88">
        <v>27</v>
      </c>
      <c r="C88" t="s">
        <v>22</v>
      </c>
      <c r="D88" t="s">
        <v>49</v>
      </c>
      <c r="E88" s="2">
        <v>46111</v>
      </c>
      <c r="F88" t="s">
        <v>16</v>
      </c>
      <c r="G88" t="s">
        <v>17</v>
      </c>
      <c r="H88">
        <v>6</v>
      </c>
      <c r="I88" t="s">
        <v>20</v>
      </c>
      <c r="J88" s="1">
        <v>41</v>
      </c>
      <c r="K88" s="3">
        <v>188190</v>
      </c>
      <c r="L88">
        <v>2</v>
      </c>
      <c r="M88" t="str" cm="1">
        <f t="array" ref="M88">_xlfn.IFS(Table1[[#This Row],[Age]]="", "Missing", Table1[[#This Row],[Age]]&lt;20, "Below 20", Table1[[#This Row],[Age]]&lt;30, "20-29", Table1[[#This Row],[Age]]&lt;40, "30-39", Table1[[#This Row],[Age]]&lt;50, "40-49", Table1[[#This Row],[Age]]&lt;60, "50-59", Table1[[#This Row],[Age]]&gt;=60, "60+")</f>
        <v>20-29</v>
      </c>
      <c r="N88" t="str" cm="1">
        <f t="array" ref="N88">_xlfn.IFS(Table1[[#This Row],[Days_to_Activate]]&lt;=3, "Fast", Table1[[#This Row],[Days_to_Activate]]&lt;=7, "Moderate", Table1[[#This Row],[Days_to_Activate]]&lt;=14, "Slow", Table1[[#This Row],[Days_to_Activate]]&gt;14, "Outlier")</f>
        <v>Moderate</v>
      </c>
    </row>
    <row r="89" spans="1:14" x14ac:dyDescent="0.25">
      <c r="A89" t="s">
        <v>156</v>
      </c>
      <c r="B89">
        <v>54</v>
      </c>
      <c r="C89" t="s">
        <v>22</v>
      </c>
      <c r="D89" t="s">
        <v>14</v>
      </c>
      <c r="E89" s="2">
        <v>46128</v>
      </c>
      <c r="F89" t="s">
        <v>16</v>
      </c>
      <c r="G89" t="s">
        <v>17</v>
      </c>
      <c r="H89">
        <v>11</v>
      </c>
      <c r="I89" t="s">
        <v>43</v>
      </c>
      <c r="J89" s="1">
        <v>48</v>
      </c>
      <c r="K89" s="3">
        <v>375600</v>
      </c>
      <c r="L89">
        <v>2</v>
      </c>
      <c r="M89" t="str" cm="1">
        <f t="array" ref="M89">_xlfn.IFS(Table1[[#This Row],[Age]]="", "Missing", Table1[[#This Row],[Age]]&lt;20, "Below 20", Table1[[#This Row],[Age]]&lt;30, "20-29", Table1[[#This Row],[Age]]&lt;40, "30-39", Table1[[#This Row],[Age]]&lt;50, "40-49", Table1[[#This Row],[Age]]&lt;60, "50-59", Table1[[#This Row],[Age]]&gt;=60, "60+")</f>
        <v>50-59</v>
      </c>
      <c r="N89" t="str" cm="1">
        <f t="array" ref="N89">_xlfn.IFS(Table1[[#This Row],[Days_to_Activate]]&lt;=3, "Fast", Table1[[#This Row],[Days_to_Activate]]&lt;=7, "Moderate", Table1[[#This Row],[Days_to_Activate]]&lt;=14, "Slow", Table1[[#This Row],[Days_to_Activate]]&gt;14, "Outlier")</f>
        <v>Slow</v>
      </c>
    </row>
    <row r="90" spans="1:14" x14ac:dyDescent="0.25">
      <c r="A90" t="s">
        <v>157</v>
      </c>
      <c r="B90">
        <v>49</v>
      </c>
      <c r="C90" t="s">
        <v>13</v>
      </c>
      <c r="D90" t="s">
        <v>14</v>
      </c>
      <c r="E90" s="2">
        <v>46174</v>
      </c>
      <c r="F90" t="s">
        <v>16</v>
      </c>
      <c r="G90" t="s">
        <v>17</v>
      </c>
      <c r="H90">
        <v>13</v>
      </c>
      <c r="I90" t="s">
        <v>20</v>
      </c>
      <c r="J90" s="1">
        <v>67</v>
      </c>
      <c r="K90" s="3">
        <v>602062</v>
      </c>
      <c r="L90">
        <v>1</v>
      </c>
      <c r="M90" t="str" cm="1">
        <f t="array" ref="M90">_xlfn.IFS(Table1[[#This Row],[Age]]="", "Missing", Table1[[#This Row],[Age]]&lt;20, "Below 20", Table1[[#This Row],[Age]]&lt;30, "20-29", Table1[[#This Row],[Age]]&lt;40, "30-39", Table1[[#This Row],[Age]]&lt;50, "40-49", Table1[[#This Row],[Age]]&lt;60, "50-59", Table1[[#This Row],[Age]]&gt;=60, "60+")</f>
        <v>40-49</v>
      </c>
      <c r="N90" t="str" cm="1">
        <f t="array" ref="N90">_xlfn.IFS(Table1[[#This Row],[Days_to_Activate]]&lt;=3, "Fast", Table1[[#This Row],[Days_to_Activate]]&lt;=7, "Moderate", Table1[[#This Row],[Days_to_Activate]]&lt;=14, "Slow", Table1[[#This Row],[Days_to_Activate]]&gt;14, "Outlier")</f>
        <v>Slow</v>
      </c>
    </row>
    <row r="91" spans="1:14" x14ac:dyDescent="0.25">
      <c r="A91" t="s">
        <v>158</v>
      </c>
      <c r="B91">
        <v>27</v>
      </c>
      <c r="C91" t="s">
        <v>22</v>
      </c>
      <c r="D91" t="s">
        <v>28</v>
      </c>
      <c r="E91" s="2">
        <v>46062</v>
      </c>
      <c r="F91" t="s">
        <v>16</v>
      </c>
      <c r="G91" t="s">
        <v>17</v>
      </c>
      <c r="H91">
        <v>4</v>
      </c>
      <c r="I91" t="s">
        <v>20</v>
      </c>
      <c r="J91" s="1">
        <v>50</v>
      </c>
      <c r="K91" s="3">
        <v>140750</v>
      </c>
      <c r="L91">
        <v>3</v>
      </c>
      <c r="M91" t="str" cm="1">
        <f t="array" ref="M91">_xlfn.IFS(Table1[[#This Row],[Age]]="", "Missing", Table1[[#This Row],[Age]]&lt;20, "Below 20", Table1[[#This Row],[Age]]&lt;30, "20-29", Table1[[#This Row],[Age]]&lt;40, "30-39", Table1[[#This Row],[Age]]&lt;50, "40-49", Table1[[#This Row],[Age]]&lt;60, "50-59", Table1[[#This Row],[Age]]&gt;=60, "60+")</f>
        <v>20-29</v>
      </c>
      <c r="N91" t="str" cm="1">
        <f t="array" ref="N91">_xlfn.IFS(Table1[[#This Row],[Days_to_Activate]]&lt;=3, "Fast", Table1[[#This Row],[Days_to_Activate]]&lt;=7, "Moderate", Table1[[#This Row],[Days_to_Activate]]&lt;=14, "Slow", Table1[[#This Row],[Days_to_Activate]]&gt;14, "Outlier")</f>
        <v>Moderate</v>
      </c>
    </row>
    <row r="92" spans="1:14" x14ac:dyDescent="0.25">
      <c r="A92" t="s">
        <v>159</v>
      </c>
      <c r="B92">
        <v>52</v>
      </c>
      <c r="C92" t="s">
        <v>22</v>
      </c>
      <c r="D92" t="s">
        <v>91</v>
      </c>
      <c r="E92" s="2">
        <v>46183</v>
      </c>
      <c r="F92" t="s">
        <v>16</v>
      </c>
      <c r="G92" t="s">
        <v>17</v>
      </c>
      <c r="H92">
        <v>13</v>
      </c>
      <c r="I92" t="s">
        <v>20</v>
      </c>
      <c r="J92" s="1">
        <v>79</v>
      </c>
      <c r="K92" s="3">
        <v>207059</v>
      </c>
      <c r="L92">
        <v>2</v>
      </c>
      <c r="M92" t="str" cm="1">
        <f t="array" ref="M92">_xlfn.IFS(Table1[[#This Row],[Age]]="", "Missing", Table1[[#This Row],[Age]]&lt;20, "Below 20", Table1[[#This Row],[Age]]&lt;30, "20-29", Table1[[#This Row],[Age]]&lt;40, "30-39", Table1[[#This Row],[Age]]&lt;50, "40-49", Table1[[#This Row],[Age]]&lt;60, "50-59", Table1[[#This Row],[Age]]&gt;=60, "60+")</f>
        <v>50-59</v>
      </c>
      <c r="N92" t="str" cm="1">
        <f t="array" ref="N92">_xlfn.IFS(Table1[[#This Row],[Days_to_Activate]]&lt;=3, "Fast", Table1[[#This Row],[Days_to_Activate]]&lt;=7, "Moderate", Table1[[#This Row],[Days_to_Activate]]&lt;=14, "Slow", Table1[[#This Row],[Days_to_Activate]]&gt;14, "Outlier")</f>
        <v>Slow</v>
      </c>
    </row>
    <row r="93" spans="1:14" x14ac:dyDescent="0.25">
      <c r="A93" t="s">
        <v>160</v>
      </c>
      <c r="B93">
        <v>58</v>
      </c>
      <c r="C93" t="s">
        <v>22</v>
      </c>
      <c r="D93" t="s">
        <v>33</v>
      </c>
      <c r="E93" s="2">
        <v>46046</v>
      </c>
      <c r="F93" t="s">
        <v>16</v>
      </c>
      <c r="G93" t="s">
        <v>17</v>
      </c>
      <c r="H93">
        <v>10</v>
      </c>
      <c r="I93" t="s">
        <v>18</v>
      </c>
      <c r="J93" s="1">
        <v>12</v>
      </c>
      <c r="K93" s="3">
        <v>105228</v>
      </c>
      <c r="L93">
        <v>2</v>
      </c>
      <c r="M93" t="str" cm="1">
        <f t="array" ref="M93">_xlfn.IFS(Table1[[#This Row],[Age]]="", "Missing", Table1[[#This Row],[Age]]&lt;20, "Below 20", Table1[[#This Row],[Age]]&lt;30, "20-29", Table1[[#This Row],[Age]]&lt;40, "30-39", Table1[[#This Row],[Age]]&lt;50, "40-49", Table1[[#This Row],[Age]]&lt;60, "50-59", Table1[[#This Row],[Age]]&gt;=60, "60+")</f>
        <v>50-59</v>
      </c>
      <c r="N93" t="str" cm="1">
        <f t="array" ref="N93">_xlfn.IFS(Table1[[#This Row],[Days_to_Activate]]&lt;=3, "Fast", Table1[[#This Row],[Days_to_Activate]]&lt;=7, "Moderate", Table1[[#This Row],[Days_to_Activate]]&lt;=14, "Slow", Table1[[#This Row],[Days_to_Activate]]&gt;14, "Outlier")</f>
        <v>Slow</v>
      </c>
    </row>
    <row r="94" spans="1:14" x14ac:dyDescent="0.25">
      <c r="A94" t="s">
        <v>161</v>
      </c>
      <c r="B94">
        <v>37</v>
      </c>
      <c r="C94" t="s">
        <v>13</v>
      </c>
      <c r="D94" t="s">
        <v>14</v>
      </c>
      <c r="E94" s="2">
        <v>46037</v>
      </c>
      <c r="F94" t="s">
        <v>16</v>
      </c>
      <c r="G94" t="s">
        <v>17</v>
      </c>
      <c r="H94">
        <v>2</v>
      </c>
      <c r="I94" t="s">
        <v>20</v>
      </c>
      <c r="J94" s="1">
        <v>52</v>
      </c>
      <c r="K94" s="3">
        <v>560144</v>
      </c>
      <c r="L94">
        <v>5</v>
      </c>
      <c r="M94" t="str" cm="1">
        <f t="array" ref="M94">_xlfn.IFS(Table1[[#This Row],[Age]]="", "Missing", Table1[[#This Row],[Age]]&lt;20, "Below 20", Table1[[#This Row],[Age]]&lt;30, "20-29", Table1[[#This Row],[Age]]&lt;40, "30-39", Table1[[#This Row],[Age]]&lt;50, "40-49", Table1[[#This Row],[Age]]&lt;60, "50-59", Table1[[#This Row],[Age]]&gt;=60, "60+")</f>
        <v>30-39</v>
      </c>
      <c r="N94" t="str" cm="1">
        <f t="array" ref="N94">_xlfn.IFS(Table1[[#This Row],[Days_to_Activate]]&lt;=3, "Fast", Table1[[#This Row],[Days_to_Activate]]&lt;=7, "Moderate", Table1[[#This Row],[Days_to_Activate]]&lt;=14, "Slow", Table1[[#This Row],[Days_to_Activate]]&gt;14, "Outlier")</f>
        <v>Fast</v>
      </c>
    </row>
    <row r="95" spans="1:14" x14ac:dyDescent="0.25">
      <c r="A95" t="s">
        <v>162</v>
      </c>
      <c r="B95">
        <v>29</v>
      </c>
      <c r="C95" t="s">
        <v>13</v>
      </c>
      <c r="D95" t="s">
        <v>14</v>
      </c>
      <c r="E95" s="2">
        <v>46179</v>
      </c>
      <c r="F95" t="s">
        <v>36</v>
      </c>
      <c r="G95" t="s">
        <v>37</v>
      </c>
      <c r="I95" t="s">
        <v>20</v>
      </c>
      <c r="J95" s="1">
        <v>4</v>
      </c>
      <c r="K95" s="3">
        <v>15376</v>
      </c>
      <c r="L95">
        <v>2</v>
      </c>
      <c r="M95" t="str" cm="1">
        <f t="array" ref="M95">_xlfn.IFS(Table1[[#This Row],[Age]]="", "Missing", Table1[[#This Row],[Age]]&lt;20, "Below 20", Table1[[#This Row],[Age]]&lt;30, "20-29", Table1[[#This Row],[Age]]&lt;40, "30-39", Table1[[#This Row],[Age]]&lt;50, "40-49", Table1[[#This Row],[Age]]&lt;60, "50-59", Table1[[#This Row],[Age]]&gt;=60, "60+")</f>
        <v>20-29</v>
      </c>
      <c r="N95" t="str" cm="1">
        <f t="array" ref="N95">_xlfn.IFS(Table1[[#This Row],[Days_to_Activate]]&lt;=3, "Fast", Table1[[#This Row],[Days_to_Activate]]&lt;=7, "Moderate", Table1[[#This Row],[Days_to_Activate]]&lt;=14, "Slow", Table1[[#This Row],[Days_to_Activate]]&gt;14, "Outlier")</f>
        <v>Fast</v>
      </c>
    </row>
    <row r="96" spans="1:14" x14ac:dyDescent="0.25">
      <c r="A96" t="s">
        <v>164</v>
      </c>
      <c r="B96">
        <v>47</v>
      </c>
      <c r="C96" t="s">
        <v>22</v>
      </c>
      <c r="D96" t="s">
        <v>49</v>
      </c>
      <c r="E96" s="2">
        <v>46193</v>
      </c>
      <c r="F96" t="s">
        <v>16</v>
      </c>
      <c r="G96" t="s">
        <v>17</v>
      </c>
      <c r="H96">
        <v>14</v>
      </c>
      <c r="I96" t="s">
        <v>20</v>
      </c>
      <c r="J96" s="1">
        <v>69</v>
      </c>
      <c r="K96" s="3">
        <v>282072</v>
      </c>
      <c r="L96">
        <v>1</v>
      </c>
      <c r="M96" t="str" cm="1">
        <f t="array" ref="M96">_xlfn.IFS(Table1[[#This Row],[Age]]="", "Missing", Table1[[#This Row],[Age]]&lt;20, "Below 20", Table1[[#This Row],[Age]]&lt;30, "20-29", Table1[[#This Row],[Age]]&lt;40, "30-39", Table1[[#This Row],[Age]]&lt;50, "40-49", Table1[[#This Row],[Age]]&lt;60, "50-59", Table1[[#This Row],[Age]]&gt;=60, "60+")</f>
        <v>40-49</v>
      </c>
      <c r="N96" t="str" cm="1">
        <f t="array" ref="N96">_xlfn.IFS(Table1[[#This Row],[Days_to_Activate]]&lt;=3, "Fast", Table1[[#This Row],[Days_to_Activate]]&lt;=7, "Moderate", Table1[[#This Row],[Days_to_Activate]]&lt;=14, "Slow", Table1[[#This Row],[Days_to_Activate]]&gt;14, "Outlier")</f>
        <v>Slow</v>
      </c>
    </row>
    <row r="97" spans="1:14" x14ac:dyDescent="0.25">
      <c r="A97" t="s">
        <v>165</v>
      </c>
      <c r="B97">
        <v>46</v>
      </c>
      <c r="C97" t="s">
        <v>22</v>
      </c>
      <c r="D97" t="s">
        <v>33</v>
      </c>
      <c r="E97" s="2">
        <v>46099</v>
      </c>
      <c r="F97" t="s">
        <v>16</v>
      </c>
      <c r="G97" t="s">
        <v>17</v>
      </c>
      <c r="H97">
        <v>4</v>
      </c>
      <c r="I97" t="s">
        <v>20</v>
      </c>
      <c r="J97" s="1">
        <v>38</v>
      </c>
      <c r="K97" s="3">
        <v>180994</v>
      </c>
      <c r="L97">
        <v>4</v>
      </c>
      <c r="M97" t="str" cm="1">
        <f t="array" ref="M97">_xlfn.IFS(Table1[[#This Row],[Age]]="", "Missing", Table1[[#This Row],[Age]]&lt;20, "Below 20", Table1[[#This Row],[Age]]&lt;30, "20-29", Table1[[#This Row],[Age]]&lt;40, "30-39", Table1[[#This Row],[Age]]&lt;50, "40-49", Table1[[#This Row],[Age]]&lt;60, "50-59", Table1[[#This Row],[Age]]&gt;=60, "60+")</f>
        <v>40-49</v>
      </c>
      <c r="N97" t="str" cm="1">
        <f t="array" ref="N97">_xlfn.IFS(Table1[[#This Row],[Days_to_Activate]]&lt;=3, "Fast", Table1[[#This Row],[Days_to_Activate]]&lt;=7, "Moderate", Table1[[#This Row],[Days_to_Activate]]&lt;=14, "Slow", Table1[[#This Row],[Days_to_Activate]]&gt;14, "Outlier")</f>
        <v>Moderate</v>
      </c>
    </row>
    <row r="98" spans="1:14" x14ac:dyDescent="0.25">
      <c r="A98" t="s">
        <v>166</v>
      </c>
      <c r="B98">
        <v>48</v>
      </c>
      <c r="C98" t="s">
        <v>13</v>
      </c>
      <c r="D98" t="s">
        <v>14</v>
      </c>
      <c r="E98" s="2">
        <v>46169</v>
      </c>
      <c r="F98" t="s">
        <v>16</v>
      </c>
      <c r="G98" t="s">
        <v>17</v>
      </c>
      <c r="H98">
        <v>11</v>
      </c>
      <c r="I98" t="s">
        <v>20</v>
      </c>
      <c r="J98" s="1">
        <v>50</v>
      </c>
      <c r="K98" s="3">
        <v>299850</v>
      </c>
      <c r="L98">
        <v>1</v>
      </c>
      <c r="M98" t="str" cm="1">
        <f t="array" ref="M98">_xlfn.IFS(Table1[[#This Row],[Age]]="", "Missing", Table1[[#This Row],[Age]]&lt;20, "Below 20", Table1[[#This Row],[Age]]&lt;30, "20-29", Table1[[#This Row],[Age]]&lt;40, "30-39", Table1[[#This Row],[Age]]&lt;50, "40-49", Table1[[#This Row],[Age]]&lt;60, "50-59", Table1[[#This Row],[Age]]&gt;=60, "60+")</f>
        <v>40-49</v>
      </c>
      <c r="N98" t="str" cm="1">
        <f t="array" ref="N98">_xlfn.IFS(Table1[[#This Row],[Days_to_Activate]]&lt;=3, "Fast", Table1[[#This Row],[Days_to_Activate]]&lt;=7, "Moderate", Table1[[#This Row],[Days_to_Activate]]&lt;=14, "Slow", Table1[[#This Row],[Days_to_Activate]]&gt;14, "Outlier")</f>
        <v>Slow</v>
      </c>
    </row>
    <row r="99" spans="1:14" x14ac:dyDescent="0.25">
      <c r="A99" t="s">
        <v>168</v>
      </c>
      <c r="B99">
        <v>54</v>
      </c>
      <c r="C99" t="s">
        <v>13</v>
      </c>
      <c r="D99" t="s">
        <v>91</v>
      </c>
      <c r="E99" s="2">
        <v>46150</v>
      </c>
      <c r="F99" t="s">
        <v>16</v>
      </c>
      <c r="G99" t="s">
        <v>37</v>
      </c>
      <c r="I99" t="s">
        <v>18</v>
      </c>
      <c r="J99" s="1">
        <v>1</v>
      </c>
      <c r="K99" s="3">
        <v>11446</v>
      </c>
      <c r="L99">
        <v>3</v>
      </c>
      <c r="M99" t="str" cm="1">
        <f t="array" ref="M99">_xlfn.IFS(Table1[[#This Row],[Age]]="", "Missing", Table1[[#This Row],[Age]]&lt;20, "Below 20", Table1[[#This Row],[Age]]&lt;30, "20-29", Table1[[#This Row],[Age]]&lt;40, "30-39", Table1[[#This Row],[Age]]&lt;50, "40-49", Table1[[#This Row],[Age]]&lt;60, "50-59", Table1[[#This Row],[Age]]&gt;=60, "60+")</f>
        <v>50-59</v>
      </c>
      <c r="N99" t="str" cm="1">
        <f t="array" ref="N99">_xlfn.IFS(Table1[[#This Row],[Days_to_Activate]]&lt;=3, "Fast", Table1[[#This Row],[Days_to_Activate]]&lt;=7, "Moderate", Table1[[#This Row],[Days_to_Activate]]&lt;=14, "Slow", Table1[[#This Row],[Days_to_Activate]]&gt;14, "Outlier")</f>
        <v>Fast</v>
      </c>
    </row>
    <row r="100" spans="1:14" x14ac:dyDescent="0.25">
      <c r="A100" t="s">
        <v>170</v>
      </c>
      <c r="B100">
        <v>32</v>
      </c>
      <c r="C100" t="s">
        <v>13</v>
      </c>
      <c r="D100" t="s">
        <v>26</v>
      </c>
      <c r="E100" s="2">
        <v>46196</v>
      </c>
      <c r="F100" t="s">
        <v>16</v>
      </c>
      <c r="G100" t="s">
        <v>17</v>
      </c>
      <c r="H100">
        <v>10</v>
      </c>
      <c r="I100" t="s">
        <v>18</v>
      </c>
      <c r="J100" s="1">
        <v>80</v>
      </c>
      <c r="K100" s="3">
        <v>247280</v>
      </c>
      <c r="L100">
        <v>1</v>
      </c>
      <c r="M100" t="str" cm="1">
        <f t="array" ref="M100">_xlfn.IFS(Table1[[#This Row],[Age]]="", "Missing", Table1[[#This Row],[Age]]&lt;20, "Below 20", Table1[[#This Row],[Age]]&lt;30, "20-29", Table1[[#This Row],[Age]]&lt;40, "30-39", Table1[[#This Row],[Age]]&lt;50, "40-49", Table1[[#This Row],[Age]]&lt;60, "50-59", Table1[[#This Row],[Age]]&gt;=60, "60+")</f>
        <v>30-39</v>
      </c>
      <c r="N100" t="str" cm="1">
        <f t="array" ref="N100">_xlfn.IFS(Table1[[#This Row],[Days_to_Activate]]&lt;=3, "Fast", Table1[[#This Row],[Days_to_Activate]]&lt;=7, "Moderate", Table1[[#This Row],[Days_to_Activate]]&lt;=14, "Slow", Table1[[#This Row],[Days_to_Activate]]&gt;14, "Outlier")</f>
        <v>Slow</v>
      </c>
    </row>
    <row r="101" spans="1:14" x14ac:dyDescent="0.25">
      <c r="A101" t="s">
        <v>171</v>
      </c>
      <c r="B101">
        <v>37</v>
      </c>
      <c r="C101" t="s">
        <v>22</v>
      </c>
      <c r="D101" t="s">
        <v>14</v>
      </c>
      <c r="E101" s="2">
        <v>46116</v>
      </c>
      <c r="F101" t="s">
        <v>16</v>
      </c>
      <c r="G101" t="s">
        <v>17</v>
      </c>
      <c r="H101">
        <v>4</v>
      </c>
      <c r="I101" t="s">
        <v>20</v>
      </c>
      <c r="J101" s="1">
        <v>53</v>
      </c>
      <c r="K101" s="3">
        <v>231981</v>
      </c>
      <c r="L101">
        <v>2</v>
      </c>
      <c r="M101" t="str" cm="1">
        <f t="array" ref="M101">_xlfn.IFS(Table1[[#This Row],[Age]]="", "Missing", Table1[[#This Row],[Age]]&lt;20, "Below 20", Table1[[#This Row],[Age]]&lt;30, "20-29", Table1[[#This Row],[Age]]&lt;40, "30-39", Table1[[#This Row],[Age]]&lt;50, "40-49", Table1[[#This Row],[Age]]&lt;60, "50-59", Table1[[#This Row],[Age]]&gt;=60, "60+")</f>
        <v>30-39</v>
      </c>
      <c r="N101" t="str" cm="1">
        <f t="array" ref="N101">_xlfn.IFS(Table1[[#This Row],[Days_to_Activate]]&lt;=3, "Fast", Table1[[#This Row],[Days_to_Activate]]&lt;=7, "Moderate", Table1[[#This Row],[Days_to_Activate]]&lt;=14, "Slow", Table1[[#This Row],[Days_to_Activate]]&gt;14, "Outlier")</f>
        <v>Moderate</v>
      </c>
    </row>
    <row r="102" spans="1:14" x14ac:dyDescent="0.25">
      <c r="A102" t="s">
        <v>172</v>
      </c>
      <c r="B102">
        <v>26</v>
      </c>
      <c r="C102" t="s">
        <v>22</v>
      </c>
      <c r="D102" t="s">
        <v>49</v>
      </c>
      <c r="E102" s="2">
        <v>46092</v>
      </c>
      <c r="F102" t="s">
        <v>16</v>
      </c>
      <c r="G102" t="s">
        <v>17</v>
      </c>
      <c r="H102">
        <v>13</v>
      </c>
      <c r="I102" t="s">
        <v>43</v>
      </c>
      <c r="J102" s="1">
        <v>37</v>
      </c>
      <c r="K102" s="3">
        <v>260813</v>
      </c>
      <c r="L102">
        <v>1</v>
      </c>
      <c r="M102" t="str" cm="1">
        <f t="array" ref="M102">_xlfn.IFS(Table1[[#This Row],[Age]]="", "Missing", Table1[[#This Row],[Age]]&lt;20, "Below 20", Table1[[#This Row],[Age]]&lt;30, "20-29", Table1[[#This Row],[Age]]&lt;40, "30-39", Table1[[#This Row],[Age]]&lt;50, "40-49", Table1[[#This Row],[Age]]&lt;60, "50-59", Table1[[#This Row],[Age]]&gt;=60, "60+")</f>
        <v>20-29</v>
      </c>
      <c r="N102" t="str" cm="1">
        <f t="array" ref="N102">_xlfn.IFS(Table1[[#This Row],[Days_to_Activate]]&lt;=3, "Fast", Table1[[#This Row],[Days_to_Activate]]&lt;=7, "Moderate", Table1[[#This Row],[Days_to_Activate]]&lt;=14, "Slow", Table1[[#This Row],[Days_to_Activate]]&gt;14, "Outlier")</f>
        <v>Slow</v>
      </c>
    </row>
    <row r="103" spans="1:14" x14ac:dyDescent="0.25">
      <c r="A103" t="s">
        <v>173</v>
      </c>
      <c r="B103">
        <v>47</v>
      </c>
      <c r="C103" t="s">
        <v>13</v>
      </c>
      <c r="D103" t="s">
        <v>14</v>
      </c>
      <c r="E103" s="2">
        <v>46080</v>
      </c>
      <c r="F103" t="s">
        <v>36</v>
      </c>
      <c r="G103" t="s">
        <v>37</v>
      </c>
      <c r="I103" t="s">
        <v>43</v>
      </c>
      <c r="J103" s="1">
        <v>4</v>
      </c>
      <c r="K103" s="3">
        <v>29968</v>
      </c>
      <c r="L103">
        <v>1</v>
      </c>
      <c r="M103" t="str" cm="1">
        <f t="array" ref="M103">_xlfn.IFS(Table1[[#This Row],[Age]]="", "Missing", Table1[[#This Row],[Age]]&lt;20, "Below 20", Table1[[#This Row],[Age]]&lt;30, "20-29", Table1[[#This Row],[Age]]&lt;40, "30-39", Table1[[#This Row],[Age]]&lt;50, "40-49", Table1[[#This Row],[Age]]&lt;60, "50-59", Table1[[#This Row],[Age]]&gt;=60, "60+")</f>
        <v>40-49</v>
      </c>
      <c r="N103" t="str" cm="1">
        <f t="array" ref="N103">_xlfn.IFS(Table1[[#This Row],[Days_to_Activate]]&lt;=3, "Fast", Table1[[#This Row],[Days_to_Activate]]&lt;=7, "Moderate", Table1[[#This Row],[Days_to_Activate]]&lt;=14, "Slow", Table1[[#This Row],[Days_to_Activate]]&gt;14, "Outlier")</f>
        <v>Fast</v>
      </c>
    </row>
    <row r="104" spans="1:14" x14ac:dyDescent="0.25">
      <c r="A104" t="s">
        <v>175</v>
      </c>
      <c r="B104">
        <v>43</v>
      </c>
      <c r="C104" t="s">
        <v>13</v>
      </c>
      <c r="D104" t="s">
        <v>14</v>
      </c>
      <c r="E104" s="2">
        <v>46054</v>
      </c>
      <c r="F104" t="s">
        <v>16</v>
      </c>
      <c r="G104" t="s">
        <v>17</v>
      </c>
      <c r="H104">
        <v>10</v>
      </c>
      <c r="I104" t="s">
        <v>20</v>
      </c>
      <c r="J104" s="1">
        <v>48</v>
      </c>
      <c r="K104" s="3">
        <v>574128</v>
      </c>
      <c r="L104">
        <v>3</v>
      </c>
      <c r="M104" t="str" cm="1">
        <f t="array" ref="M104">_xlfn.IFS(Table1[[#This Row],[Age]]="", "Missing", Table1[[#This Row],[Age]]&lt;20, "Below 20", Table1[[#This Row],[Age]]&lt;30, "20-29", Table1[[#This Row],[Age]]&lt;40, "30-39", Table1[[#This Row],[Age]]&lt;50, "40-49", Table1[[#This Row],[Age]]&lt;60, "50-59", Table1[[#This Row],[Age]]&gt;=60, "60+")</f>
        <v>40-49</v>
      </c>
      <c r="N104" t="str" cm="1">
        <f t="array" ref="N104">_xlfn.IFS(Table1[[#This Row],[Days_to_Activate]]&lt;=3, "Fast", Table1[[#This Row],[Days_to_Activate]]&lt;=7, "Moderate", Table1[[#This Row],[Days_to_Activate]]&lt;=14, "Slow", Table1[[#This Row],[Days_to_Activate]]&gt;14, "Outlier")</f>
        <v>Slow</v>
      </c>
    </row>
    <row r="105" spans="1:14" x14ac:dyDescent="0.25">
      <c r="A105" t="s">
        <v>176</v>
      </c>
      <c r="B105">
        <v>24</v>
      </c>
      <c r="C105" t="s">
        <v>13</v>
      </c>
      <c r="D105" t="s">
        <v>49</v>
      </c>
      <c r="E105" s="2">
        <v>46181</v>
      </c>
      <c r="F105" t="s">
        <v>36</v>
      </c>
      <c r="G105" t="s">
        <v>37</v>
      </c>
      <c r="I105" t="s">
        <v>43</v>
      </c>
      <c r="J105" s="1">
        <v>1</v>
      </c>
      <c r="K105" s="3">
        <v>2535</v>
      </c>
      <c r="L105">
        <v>4</v>
      </c>
      <c r="M105" t="str" cm="1">
        <f t="array" ref="M105">_xlfn.IFS(Table1[[#This Row],[Age]]="", "Missing", Table1[[#This Row],[Age]]&lt;20, "Below 20", Table1[[#This Row],[Age]]&lt;30, "20-29", Table1[[#This Row],[Age]]&lt;40, "30-39", Table1[[#This Row],[Age]]&lt;50, "40-49", Table1[[#This Row],[Age]]&lt;60, "50-59", Table1[[#This Row],[Age]]&gt;=60, "60+")</f>
        <v>20-29</v>
      </c>
      <c r="N105" t="str" cm="1">
        <f t="array" ref="N105">_xlfn.IFS(Table1[[#This Row],[Days_to_Activate]]&lt;=3, "Fast", Table1[[#This Row],[Days_to_Activate]]&lt;=7, "Moderate", Table1[[#This Row],[Days_to_Activate]]&lt;=14, "Slow", Table1[[#This Row],[Days_to_Activate]]&gt;14, "Outlier")</f>
        <v>Fast</v>
      </c>
    </row>
    <row r="106" spans="1:14" x14ac:dyDescent="0.25">
      <c r="A106" t="s">
        <v>177</v>
      </c>
      <c r="B106">
        <v>37</v>
      </c>
      <c r="C106" t="s">
        <v>22</v>
      </c>
      <c r="D106" t="s">
        <v>14</v>
      </c>
      <c r="E106" s="2">
        <v>46034</v>
      </c>
      <c r="F106" t="s">
        <v>36</v>
      </c>
      <c r="G106" t="s">
        <v>37</v>
      </c>
      <c r="I106" t="s">
        <v>20</v>
      </c>
      <c r="J106" s="1">
        <v>0</v>
      </c>
      <c r="K106" s="3">
        <v>0</v>
      </c>
      <c r="L106">
        <v>2</v>
      </c>
      <c r="M106" t="str" cm="1">
        <f t="array" ref="M106">_xlfn.IFS(Table1[[#This Row],[Age]]="", "Missing", Table1[[#This Row],[Age]]&lt;20, "Below 20", Table1[[#This Row],[Age]]&lt;30, "20-29", Table1[[#This Row],[Age]]&lt;40, "30-39", Table1[[#This Row],[Age]]&lt;50, "40-49", Table1[[#This Row],[Age]]&lt;60, "50-59", Table1[[#This Row],[Age]]&gt;=60, "60+")</f>
        <v>30-39</v>
      </c>
      <c r="N106" t="str" cm="1">
        <f t="array" ref="N106">_xlfn.IFS(Table1[[#This Row],[Days_to_Activate]]&lt;=3, "Fast", Table1[[#This Row],[Days_to_Activate]]&lt;=7, "Moderate", Table1[[#This Row],[Days_to_Activate]]&lt;=14, "Slow", Table1[[#This Row],[Days_to_Activate]]&gt;14, "Outlier")</f>
        <v>Fast</v>
      </c>
    </row>
    <row r="107" spans="1:14" x14ac:dyDescent="0.25">
      <c r="A107" t="s">
        <v>179</v>
      </c>
      <c r="B107">
        <v>42</v>
      </c>
      <c r="C107" t="s">
        <v>22</v>
      </c>
      <c r="D107" t="s">
        <v>14</v>
      </c>
      <c r="E107" s="2">
        <v>46201</v>
      </c>
      <c r="F107" t="s">
        <v>36</v>
      </c>
      <c r="G107" t="s">
        <v>37</v>
      </c>
      <c r="I107" t="s">
        <v>18</v>
      </c>
      <c r="J107" s="1">
        <v>1</v>
      </c>
      <c r="K107" s="3">
        <v>8297</v>
      </c>
      <c r="L107">
        <v>1</v>
      </c>
      <c r="M107" t="str" cm="1">
        <f t="array" ref="M107">_xlfn.IFS(Table1[[#This Row],[Age]]="", "Missing", Table1[[#This Row],[Age]]&lt;20, "Below 20", Table1[[#This Row],[Age]]&lt;30, "20-29", Table1[[#This Row],[Age]]&lt;40, "30-39", Table1[[#This Row],[Age]]&lt;50, "40-49", Table1[[#This Row],[Age]]&lt;60, "50-59", Table1[[#This Row],[Age]]&gt;=60, "60+")</f>
        <v>40-49</v>
      </c>
      <c r="N107" t="str" cm="1">
        <f t="array" ref="N107">_xlfn.IFS(Table1[[#This Row],[Days_to_Activate]]&lt;=3, "Fast", Table1[[#This Row],[Days_to_Activate]]&lt;=7, "Moderate", Table1[[#This Row],[Days_to_Activate]]&lt;=14, "Slow", Table1[[#This Row],[Days_to_Activate]]&gt;14, "Outlier")</f>
        <v>Fast</v>
      </c>
    </row>
    <row r="108" spans="1:14" x14ac:dyDescent="0.25">
      <c r="A108" t="s">
        <v>181</v>
      </c>
      <c r="B108">
        <v>49</v>
      </c>
      <c r="C108" t="s">
        <v>22</v>
      </c>
      <c r="D108" t="s">
        <v>91</v>
      </c>
      <c r="E108" s="2">
        <v>46094</v>
      </c>
      <c r="F108" t="s">
        <v>16</v>
      </c>
      <c r="G108" t="s">
        <v>17</v>
      </c>
      <c r="H108">
        <v>7</v>
      </c>
      <c r="I108" t="s">
        <v>20</v>
      </c>
      <c r="J108" s="1">
        <v>30</v>
      </c>
      <c r="K108" s="3">
        <v>223260</v>
      </c>
      <c r="L108">
        <v>1</v>
      </c>
      <c r="M108" t="str" cm="1">
        <f t="array" ref="M108">_xlfn.IFS(Table1[[#This Row],[Age]]="", "Missing", Table1[[#This Row],[Age]]&lt;20, "Below 20", Table1[[#This Row],[Age]]&lt;30, "20-29", Table1[[#This Row],[Age]]&lt;40, "30-39", Table1[[#This Row],[Age]]&lt;50, "40-49", Table1[[#This Row],[Age]]&lt;60, "50-59", Table1[[#This Row],[Age]]&gt;=60, "60+")</f>
        <v>40-49</v>
      </c>
      <c r="N108" t="str" cm="1">
        <f t="array" ref="N108">_xlfn.IFS(Table1[[#This Row],[Days_to_Activate]]&lt;=3, "Fast", Table1[[#This Row],[Days_to_Activate]]&lt;=7, "Moderate", Table1[[#This Row],[Days_to_Activate]]&lt;=14, "Slow", Table1[[#This Row],[Days_to_Activate]]&gt;14, "Outlier")</f>
        <v>Moderate</v>
      </c>
    </row>
    <row r="109" spans="1:14" x14ac:dyDescent="0.25">
      <c r="A109" t="s">
        <v>182</v>
      </c>
      <c r="B109">
        <v>41</v>
      </c>
      <c r="C109" t="s">
        <v>22</v>
      </c>
      <c r="D109" t="s">
        <v>14</v>
      </c>
      <c r="E109" s="2">
        <v>46093</v>
      </c>
      <c r="F109" t="s">
        <v>16</v>
      </c>
      <c r="G109" t="s">
        <v>17</v>
      </c>
      <c r="H109">
        <v>13</v>
      </c>
      <c r="I109" t="s">
        <v>18</v>
      </c>
      <c r="J109" s="1">
        <v>11</v>
      </c>
      <c r="K109" s="3">
        <v>54725</v>
      </c>
      <c r="L109">
        <v>1</v>
      </c>
      <c r="M109" t="str" cm="1">
        <f t="array" ref="M109">_xlfn.IFS(Table1[[#This Row],[Age]]="", "Missing", Table1[[#This Row],[Age]]&lt;20, "Below 20", Table1[[#This Row],[Age]]&lt;30, "20-29", Table1[[#This Row],[Age]]&lt;40, "30-39", Table1[[#This Row],[Age]]&lt;50, "40-49", Table1[[#This Row],[Age]]&lt;60, "50-59", Table1[[#This Row],[Age]]&gt;=60, "60+")</f>
        <v>40-49</v>
      </c>
      <c r="N109" t="str" cm="1">
        <f t="array" ref="N109">_xlfn.IFS(Table1[[#This Row],[Days_to_Activate]]&lt;=3, "Fast", Table1[[#This Row],[Days_to_Activate]]&lt;=7, "Moderate", Table1[[#This Row],[Days_to_Activate]]&lt;=14, "Slow", Table1[[#This Row],[Days_to_Activate]]&gt;14, "Outlier")</f>
        <v>Slow</v>
      </c>
    </row>
    <row r="110" spans="1:14" x14ac:dyDescent="0.25">
      <c r="A110" t="s">
        <v>183</v>
      </c>
      <c r="B110">
        <v>21</v>
      </c>
      <c r="C110" t="s">
        <v>22</v>
      </c>
      <c r="D110" t="s">
        <v>14</v>
      </c>
      <c r="E110" s="2">
        <v>46055</v>
      </c>
      <c r="F110" t="s">
        <v>16</v>
      </c>
      <c r="G110" t="s">
        <v>17</v>
      </c>
      <c r="H110">
        <v>13</v>
      </c>
      <c r="I110" t="s">
        <v>18</v>
      </c>
      <c r="J110" s="1">
        <v>26</v>
      </c>
      <c r="K110" s="3">
        <v>288782</v>
      </c>
      <c r="L110">
        <v>2</v>
      </c>
      <c r="M110" t="str" cm="1">
        <f t="array" ref="M110">_xlfn.IFS(Table1[[#This Row],[Age]]="", "Missing", Table1[[#This Row],[Age]]&lt;20, "Below 20", Table1[[#This Row],[Age]]&lt;30, "20-29", Table1[[#This Row],[Age]]&lt;40, "30-39", Table1[[#This Row],[Age]]&lt;50, "40-49", Table1[[#This Row],[Age]]&lt;60, "50-59", Table1[[#This Row],[Age]]&gt;=60, "60+")</f>
        <v>20-29</v>
      </c>
      <c r="N110" t="str" cm="1">
        <f t="array" ref="N110">_xlfn.IFS(Table1[[#This Row],[Days_to_Activate]]&lt;=3, "Fast", Table1[[#This Row],[Days_to_Activate]]&lt;=7, "Moderate", Table1[[#This Row],[Days_to_Activate]]&lt;=14, "Slow", Table1[[#This Row],[Days_to_Activate]]&gt;14, "Outlier")</f>
        <v>Slow</v>
      </c>
    </row>
    <row r="111" spans="1:14" x14ac:dyDescent="0.25">
      <c r="A111" t="s">
        <v>184</v>
      </c>
      <c r="B111">
        <v>32</v>
      </c>
      <c r="C111" t="s">
        <v>22</v>
      </c>
      <c r="D111" t="s">
        <v>23</v>
      </c>
      <c r="E111" s="2">
        <v>46175</v>
      </c>
      <c r="F111" t="s">
        <v>16</v>
      </c>
      <c r="G111" t="s">
        <v>17</v>
      </c>
      <c r="H111">
        <v>2</v>
      </c>
      <c r="I111" t="s">
        <v>43</v>
      </c>
      <c r="J111" s="1">
        <v>69</v>
      </c>
      <c r="K111" s="3">
        <v>386814</v>
      </c>
      <c r="L111">
        <v>3</v>
      </c>
      <c r="M111" t="str" cm="1">
        <f t="array" ref="M111">_xlfn.IFS(Table1[[#This Row],[Age]]="", "Missing", Table1[[#This Row],[Age]]&lt;20, "Below 20", Table1[[#This Row],[Age]]&lt;30, "20-29", Table1[[#This Row],[Age]]&lt;40, "30-39", Table1[[#This Row],[Age]]&lt;50, "40-49", Table1[[#This Row],[Age]]&lt;60, "50-59", Table1[[#This Row],[Age]]&gt;=60, "60+")</f>
        <v>30-39</v>
      </c>
      <c r="N111" t="str" cm="1">
        <f t="array" ref="N111">_xlfn.IFS(Table1[[#This Row],[Days_to_Activate]]&lt;=3, "Fast", Table1[[#This Row],[Days_to_Activate]]&lt;=7, "Moderate", Table1[[#This Row],[Days_to_Activate]]&lt;=14, "Slow", Table1[[#This Row],[Days_to_Activate]]&gt;14, "Outlier")</f>
        <v>Fast</v>
      </c>
    </row>
    <row r="112" spans="1:14" x14ac:dyDescent="0.25">
      <c r="A112" t="s">
        <v>185</v>
      </c>
      <c r="B112">
        <v>25</v>
      </c>
      <c r="C112" t="s">
        <v>13</v>
      </c>
      <c r="D112" t="s">
        <v>14</v>
      </c>
      <c r="E112" s="2">
        <v>46114</v>
      </c>
      <c r="F112" t="s">
        <v>16</v>
      </c>
      <c r="G112" t="s">
        <v>17</v>
      </c>
      <c r="H112">
        <v>5</v>
      </c>
      <c r="I112" t="s">
        <v>20</v>
      </c>
      <c r="J112" s="1">
        <v>33</v>
      </c>
      <c r="K112" s="3">
        <v>77814</v>
      </c>
      <c r="L112">
        <v>2</v>
      </c>
      <c r="M112" t="str" cm="1">
        <f t="array" ref="M112">_xlfn.IFS(Table1[[#This Row],[Age]]="", "Missing", Table1[[#This Row],[Age]]&lt;20, "Below 20", Table1[[#This Row],[Age]]&lt;30, "20-29", Table1[[#This Row],[Age]]&lt;40, "30-39", Table1[[#This Row],[Age]]&lt;50, "40-49", Table1[[#This Row],[Age]]&lt;60, "50-59", Table1[[#This Row],[Age]]&gt;=60, "60+")</f>
        <v>20-29</v>
      </c>
      <c r="N112" t="str" cm="1">
        <f t="array" ref="N112">_xlfn.IFS(Table1[[#This Row],[Days_to_Activate]]&lt;=3, "Fast", Table1[[#This Row],[Days_to_Activate]]&lt;=7, "Moderate", Table1[[#This Row],[Days_to_Activate]]&lt;=14, "Slow", Table1[[#This Row],[Days_to_Activate]]&gt;14, "Outlier")</f>
        <v>Moderate</v>
      </c>
    </row>
    <row r="113" spans="1:14" x14ac:dyDescent="0.25">
      <c r="A113" t="s">
        <v>186</v>
      </c>
      <c r="B113">
        <v>44</v>
      </c>
      <c r="C113" t="s">
        <v>13</v>
      </c>
      <c r="D113" t="s">
        <v>30</v>
      </c>
      <c r="E113" s="2">
        <v>46144</v>
      </c>
      <c r="F113" t="s">
        <v>16</v>
      </c>
      <c r="G113" t="s">
        <v>17</v>
      </c>
      <c r="H113">
        <v>9</v>
      </c>
      <c r="I113" t="s">
        <v>20</v>
      </c>
      <c r="J113" s="1">
        <v>64</v>
      </c>
      <c r="K113" s="3">
        <v>328256</v>
      </c>
      <c r="L113">
        <v>1</v>
      </c>
      <c r="M113" t="str" cm="1">
        <f t="array" ref="M113">_xlfn.IFS(Table1[[#This Row],[Age]]="", "Missing", Table1[[#This Row],[Age]]&lt;20, "Below 20", Table1[[#This Row],[Age]]&lt;30, "20-29", Table1[[#This Row],[Age]]&lt;40, "30-39", Table1[[#This Row],[Age]]&lt;50, "40-49", Table1[[#This Row],[Age]]&lt;60, "50-59", Table1[[#This Row],[Age]]&gt;=60, "60+")</f>
        <v>40-49</v>
      </c>
      <c r="N113" t="str" cm="1">
        <f t="array" ref="N113">_xlfn.IFS(Table1[[#This Row],[Days_to_Activate]]&lt;=3, "Fast", Table1[[#This Row],[Days_to_Activate]]&lt;=7, "Moderate", Table1[[#This Row],[Days_to_Activate]]&lt;=14, "Slow", Table1[[#This Row],[Days_to_Activate]]&gt;14, "Outlier")</f>
        <v>Slow</v>
      </c>
    </row>
    <row r="114" spans="1:14" x14ac:dyDescent="0.25">
      <c r="A114" t="s">
        <v>187</v>
      </c>
      <c r="B114">
        <v>60</v>
      </c>
      <c r="C114" t="s">
        <v>22</v>
      </c>
      <c r="D114" t="s">
        <v>49</v>
      </c>
      <c r="E114" s="2">
        <v>46030</v>
      </c>
      <c r="F114" t="s">
        <v>16</v>
      </c>
      <c r="G114" t="s">
        <v>17</v>
      </c>
      <c r="H114">
        <v>6</v>
      </c>
      <c r="I114" t="s">
        <v>20</v>
      </c>
      <c r="J114" s="1">
        <v>13</v>
      </c>
      <c r="K114" s="3">
        <v>123916</v>
      </c>
      <c r="L114">
        <v>4</v>
      </c>
      <c r="M114" t="str" cm="1">
        <f t="array" ref="M114">_xlfn.IFS(Table1[[#This Row],[Age]]="", "Missing", Table1[[#This Row],[Age]]&lt;20, "Below 20", Table1[[#This Row],[Age]]&lt;30, "20-29", Table1[[#This Row],[Age]]&lt;40, "30-39", Table1[[#This Row],[Age]]&lt;50, "40-49", Table1[[#This Row],[Age]]&lt;60, "50-59", Table1[[#This Row],[Age]]&gt;=60, "60+")</f>
        <v>60+</v>
      </c>
      <c r="N114" t="str" cm="1">
        <f t="array" ref="N114">_xlfn.IFS(Table1[[#This Row],[Days_to_Activate]]&lt;=3, "Fast", Table1[[#This Row],[Days_to_Activate]]&lt;=7, "Moderate", Table1[[#This Row],[Days_to_Activate]]&lt;=14, "Slow", Table1[[#This Row],[Days_to_Activate]]&gt;14, "Outlier")</f>
        <v>Moderate</v>
      </c>
    </row>
    <row r="115" spans="1:14" x14ac:dyDescent="0.25">
      <c r="A115" t="s">
        <v>188</v>
      </c>
      <c r="B115">
        <v>22</v>
      </c>
      <c r="C115" t="s">
        <v>13</v>
      </c>
      <c r="D115" t="s">
        <v>14</v>
      </c>
      <c r="E115" s="2">
        <v>46060</v>
      </c>
      <c r="F115" t="s">
        <v>16</v>
      </c>
      <c r="G115" t="s">
        <v>17</v>
      </c>
      <c r="H115">
        <v>10</v>
      </c>
      <c r="I115" t="s">
        <v>20</v>
      </c>
      <c r="J115" s="1">
        <v>41</v>
      </c>
      <c r="K115" s="3">
        <v>317340</v>
      </c>
      <c r="L115">
        <v>3</v>
      </c>
      <c r="M115" t="str" cm="1">
        <f t="array" ref="M115">_xlfn.IFS(Table1[[#This Row],[Age]]="", "Missing", Table1[[#This Row],[Age]]&lt;20, "Below 20", Table1[[#This Row],[Age]]&lt;30, "20-29", Table1[[#This Row],[Age]]&lt;40, "30-39", Table1[[#This Row],[Age]]&lt;50, "40-49", Table1[[#This Row],[Age]]&lt;60, "50-59", Table1[[#This Row],[Age]]&gt;=60, "60+")</f>
        <v>20-29</v>
      </c>
      <c r="N115" t="str" cm="1">
        <f t="array" ref="N115">_xlfn.IFS(Table1[[#This Row],[Days_to_Activate]]&lt;=3, "Fast", Table1[[#This Row],[Days_to_Activate]]&lt;=7, "Moderate", Table1[[#This Row],[Days_to_Activate]]&lt;=14, "Slow", Table1[[#This Row],[Days_to_Activate]]&gt;14, "Outlier")</f>
        <v>Slow</v>
      </c>
    </row>
    <row r="116" spans="1:14" x14ac:dyDescent="0.25">
      <c r="A116" t="s">
        <v>189</v>
      </c>
      <c r="B116">
        <v>47</v>
      </c>
      <c r="C116" t="s">
        <v>22</v>
      </c>
      <c r="D116" t="s">
        <v>14</v>
      </c>
      <c r="E116" s="2">
        <v>46202</v>
      </c>
      <c r="F116" t="s">
        <v>16</v>
      </c>
      <c r="G116" t="s">
        <v>17</v>
      </c>
      <c r="H116">
        <v>14</v>
      </c>
      <c r="I116" t="s">
        <v>18</v>
      </c>
      <c r="J116" s="1">
        <v>27</v>
      </c>
      <c r="K116" s="3">
        <v>230742</v>
      </c>
      <c r="L116">
        <v>4</v>
      </c>
      <c r="M116" t="str" cm="1">
        <f t="array" ref="M116">_xlfn.IFS(Table1[[#This Row],[Age]]="", "Missing", Table1[[#This Row],[Age]]&lt;20, "Below 20", Table1[[#This Row],[Age]]&lt;30, "20-29", Table1[[#This Row],[Age]]&lt;40, "30-39", Table1[[#This Row],[Age]]&lt;50, "40-49", Table1[[#This Row],[Age]]&lt;60, "50-59", Table1[[#This Row],[Age]]&gt;=60, "60+")</f>
        <v>40-49</v>
      </c>
      <c r="N116" t="str" cm="1">
        <f t="array" ref="N116">_xlfn.IFS(Table1[[#This Row],[Days_to_Activate]]&lt;=3, "Fast", Table1[[#This Row],[Days_to_Activate]]&lt;=7, "Moderate", Table1[[#This Row],[Days_to_Activate]]&lt;=14, "Slow", Table1[[#This Row],[Days_to_Activate]]&gt;14, "Outlier")</f>
        <v>Slow</v>
      </c>
    </row>
    <row r="117" spans="1:14" x14ac:dyDescent="0.25">
      <c r="A117" t="s">
        <v>190</v>
      </c>
      <c r="B117">
        <v>32</v>
      </c>
      <c r="C117" t="s">
        <v>22</v>
      </c>
      <c r="D117" t="s">
        <v>14</v>
      </c>
      <c r="E117" s="2">
        <v>46139</v>
      </c>
      <c r="F117" t="s">
        <v>16</v>
      </c>
      <c r="G117" t="s">
        <v>17</v>
      </c>
      <c r="H117">
        <v>5</v>
      </c>
      <c r="I117" t="s">
        <v>20</v>
      </c>
      <c r="J117" s="1">
        <v>32</v>
      </c>
      <c r="K117" s="3">
        <v>244224</v>
      </c>
      <c r="L117">
        <v>2</v>
      </c>
      <c r="M117" t="str" cm="1">
        <f t="array" ref="M117">_xlfn.IFS(Table1[[#This Row],[Age]]="", "Missing", Table1[[#This Row],[Age]]&lt;20, "Below 20", Table1[[#This Row],[Age]]&lt;30, "20-29", Table1[[#This Row],[Age]]&lt;40, "30-39", Table1[[#This Row],[Age]]&lt;50, "40-49", Table1[[#This Row],[Age]]&lt;60, "50-59", Table1[[#This Row],[Age]]&gt;=60, "60+")</f>
        <v>30-39</v>
      </c>
      <c r="N117" t="str" cm="1">
        <f t="array" ref="N117">_xlfn.IFS(Table1[[#This Row],[Days_to_Activate]]&lt;=3, "Fast", Table1[[#This Row],[Days_to_Activate]]&lt;=7, "Moderate", Table1[[#This Row],[Days_to_Activate]]&lt;=14, "Slow", Table1[[#This Row],[Days_to_Activate]]&gt;14, "Outlier")</f>
        <v>Moderate</v>
      </c>
    </row>
    <row r="118" spans="1:14" x14ac:dyDescent="0.25">
      <c r="A118" t="s">
        <v>191</v>
      </c>
      <c r="B118">
        <v>48</v>
      </c>
      <c r="C118" t="s">
        <v>13</v>
      </c>
      <c r="D118" t="s">
        <v>14</v>
      </c>
      <c r="E118" s="2">
        <v>46044</v>
      </c>
      <c r="F118" t="s">
        <v>16</v>
      </c>
      <c r="G118" t="s">
        <v>17</v>
      </c>
      <c r="H118">
        <v>11</v>
      </c>
      <c r="I118" t="s">
        <v>20</v>
      </c>
      <c r="J118" s="1">
        <v>16</v>
      </c>
      <c r="K118" s="3">
        <v>169840</v>
      </c>
      <c r="L118">
        <v>1</v>
      </c>
      <c r="M118" t="str" cm="1">
        <f t="array" ref="M118">_xlfn.IFS(Table1[[#This Row],[Age]]="", "Missing", Table1[[#This Row],[Age]]&lt;20, "Below 20", Table1[[#This Row],[Age]]&lt;30, "20-29", Table1[[#This Row],[Age]]&lt;40, "30-39", Table1[[#This Row],[Age]]&lt;50, "40-49", Table1[[#This Row],[Age]]&lt;60, "50-59", Table1[[#This Row],[Age]]&gt;=60, "60+")</f>
        <v>40-49</v>
      </c>
      <c r="N118" t="str" cm="1">
        <f t="array" ref="N118">_xlfn.IFS(Table1[[#This Row],[Days_to_Activate]]&lt;=3, "Fast", Table1[[#This Row],[Days_to_Activate]]&lt;=7, "Moderate", Table1[[#This Row],[Days_to_Activate]]&lt;=14, "Slow", Table1[[#This Row],[Days_to_Activate]]&gt;14, "Outlier")</f>
        <v>Slow</v>
      </c>
    </row>
    <row r="119" spans="1:14" x14ac:dyDescent="0.25">
      <c r="A119" t="s">
        <v>192</v>
      </c>
      <c r="B119">
        <v>55</v>
      </c>
      <c r="C119" t="s">
        <v>22</v>
      </c>
      <c r="D119" t="s">
        <v>30</v>
      </c>
      <c r="E119" s="2">
        <v>46128</v>
      </c>
      <c r="F119" t="s">
        <v>16</v>
      </c>
      <c r="G119" t="s">
        <v>17</v>
      </c>
      <c r="H119">
        <v>12</v>
      </c>
      <c r="I119" t="s">
        <v>20</v>
      </c>
      <c r="J119" s="1">
        <v>6</v>
      </c>
      <c r="K119" s="3">
        <v>37272</v>
      </c>
      <c r="L119">
        <v>3</v>
      </c>
      <c r="M119" t="str" cm="1">
        <f t="array" ref="M119">_xlfn.IFS(Table1[[#This Row],[Age]]="", "Missing", Table1[[#This Row],[Age]]&lt;20, "Below 20", Table1[[#This Row],[Age]]&lt;30, "20-29", Table1[[#This Row],[Age]]&lt;40, "30-39", Table1[[#This Row],[Age]]&lt;50, "40-49", Table1[[#This Row],[Age]]&lt;60, "50-59", Table1[[#This Row],[Age]]&gt;=60, "60+")</f>
        <v>50-59</v>
      </c>
      <c r="N119" t="str" cm="1">
        <f t="array" ref="N119">_xlfn.IFS(Table1[[#This Row],[Days_to_Activate]]&lt;=3, "Fast", Table1[[#This Row],[Days_to_Activate]]&lt;=7, "Moderate", Table1[[#This Row],[Days_to_Activate]]&lt;=14, "Slow", Table1[[#This Row],[Days_to_Activate]]&gt;14, "Outlier")</f>
        <v>Slow</v>
      </c>
    </row>
    <row r="120" spans="1:14" x14ac:dyDescent="0.25">
      <c r="A120" t="s">
        <v>193</v>
      </c>
      <c r="B120">
        <v>40</v>
      </c>
      <c r="C120" t="s">
        <v>13</v>
      </c>
      <c r="D120" t="s">
        <v>26</v>
      </c>
      <c r="E120" s="2">
        <v>46077</v>
      </c>
      <c r="F120" t="s">
        <v>16</v>
      </c>
      <c r="G120" t="s">
        <v>17</v>
      </c>
      <c r="H120">
        <v>13</v>
      </c>
      <c r="I120" t="s">
        <v>20</v>
      </c>
      <c r="J120" s="1">
        <v>71</v>
      </c>
      <c r="K120" s="3">
        <v>534062</v>
      </c>
      <c r="L120">
        <v>1</v>
      </c>
      <c r="M120" t="str" cm="1">
        <f t="array" ref="M120">_xlfn.IFS(Table1[[#This Row],[Age]]="", "Missing", Table1[[#This Row],[Age]]&lt;20, "Below 20", Table1[[#This Row],[Age]]&lt;30, "20-29", Table1[[#This Row],[Age]]&lt;40, "30-39", Table1[[#This Row],[Age]]&lt;50, "40-49", Table1[[#This Row],[Age]]&lt;60, "50-59", Table1[[#This Row],[Age]]&gt;=60, "60+")</f>
        <v>40-49</v>
      </c>
      <c r="N120" t="str" cm="1">
        <f t="array" ref="N120">_xlfn.IFS(Table1[[#This Row],[Days_to_Activate]]&lt;=3, "Fast", Table1[[#This Row],[Days_to_Activate]]&lt;=7, "Moderate", Table1[[#This Row],[Days_to_Activate]]&lt;=14, "Slow", Table1[[#This Row],[Days_to_Activate]]&gt;14, "Outlier")</f>
        <v>Slow</v>
      </c>
    </row>
    <row r="121" spans="1:14" x14ac:dyDescent="0.25">
      <c r="A121" t="s">
        <v>194</v>
      </c>
      <c r="B121">
        <v>35</v>
      </c>
      <c r="C121" t="s">
        <v>13</v>
      </c>
      <c r="D121" t="s">
        <v>23</v>
      </c>
      <c r="E121" s="2">
        <v>46166</v>
      </c>
      <c r="F121" t="s">
        <v>36</v>
      </c>
      <c r="G121" t="s">
        <v>37</v>
      </c>
      <c r="I121" t="s">
        <v>18</v>
      </c>
      <c r="J121" s="1">
        <v>5</v>
      </c>
      <c r="K121" s="3">
        <v>53105</v>
      </c>
      <c r="L121">
        <v>7</v>
      </c>
      <c r="M121" t="str" cm="1">
        <f t="array" ref="M121">_xlfn.IFS(Table1[[#This Row],[Age]]="", "Missing", Table1[[#This Row],[Age]]&lt;20, "Below 20", Table1[[#This Row],[Age]]&lt;30, "20-29", Table1[[#This Row],[Age]]&lt;40, "30-39", Table1[[#This Row],[Age]]&lt;50, "40-49", Table1[[#This Row],[Age]]&lt;60, "50-59", Table1[[#This Row],[Age]]&gt;=60, "60+")</f>
        <v>30-39</v>
      </c>
      <c r="N121" t="str" cm="1">
        <f t="array" ref="N121">_xlfn.IFS(Table1[[#This Row],[Days_to_Activate]]&lt;=3, "Fast", Table1[[#This Row],[Days_to_Activate]]&lt;=7, "Moderate", Table1[[#This Row],[Days_to_Activate]]&lt;=14, "Slow", Table1[[#This Row],[Days_to_Activate]]&gt;14, "Outlier")</f>
        <v>Fast</v>
      </c>
    </row>
    <row r="122" spans="1:14" x14ac:dyDescent="0.25">
      <c r="A122" t="s">
        <v>195</v>
      </c>
      <c r="B122">
        <v>56</v>
      </c>
      <c r="C122" t="s">
        <v>22</v>
      </c>
      <c r="D122" t="s">
        <v>14</v>
      </c>
      <c r="E122" s="2">
        <v>46092</v>
      </c>
      <c r="F122" t="s">
        <v>16</v>
      </c>
      <c r="G122" t="s">
        <v>17</v>
      </c>
      <c r="H122">
        <v>5</v>
      </c>
      <c r="I122" t="s">
        <v>20</v>
      </c>
      <c r="J122" s="1">
        <v>23</v>
      </c>
      <c r="K122" s="3">
        <v>88481</v>
      </c>
      <c r="L122">
        <v>4</v>
      </c>
      <c r="M122" t="str" cm="1">
        <f t="array" ref="M122">_xlfn.IFS(Table1[[#This Row],[Age]]="", "Missing", Table1[[#This Row],[Age]]&lt;20, "Below 20", Table1[[#This Row],[Age]]&lt;30, "20-29", Table1[[#This Row],[Age]]&lt;40, "30-39", Table1[[#This Row],[Age]]&lt;50, "40-49", Table1[[#This Row],[Age]]&lt;60, "50-59", Table1[[#This Row],[Age]]&gt;=60, "60+")</f>
        <v>50-59</v>
      </c>
      <c r="N122" t="str" cm="1">
        <f t="array" ref="N122">_xlfn.IFS(Table1[[#This Row],[Days_to_Activate]]&lt;=3, "Fast", Table1[[#This Row],[Days_to_Activate]]&lt;=7, "Moderate", Table1[[#This Row],[Days_to_Activate]]&lt;=14, "Slow", Table1[[#This Row],[Days_to_Activate]]&gt;14, "Outlier")</f>
        <v>Moderate</v>
      </c>
    </row>
    <row r="123" spans="1:14" x14ac:dyDescent="0.25">
      <c r="A123" t="s">
        <v>196</v>
      </c>
      <c r="B123">
        <v>22</v>
      </c>
      <c r="C123" t="s">
        <v>13</v>
      </c>
      <c r="D123" t="s">
        <v>30</v>
      </c>
      <c r="E123" s="2">
        <v>46030</v>
      </c>
      <c r="F123" t="s">
        <v>16</v>
      </c>
      <c r="G123" t="s">
        <v>17</v>
      </c>
      <c r="H123">
        <v>6</v>
      </c>
      <c r="I123" t="s">
        <v>20</v>
      </c>
      <c r="J123" s="1">
        <v>43</v>
      </c>
      <c r="K123" s="3">
        <v>175354</v>
      </c>
      <c r="L123">
        <v>3</v>
      </c>
      <c r="M123" t="str" cm="1">
        <f t="array" ref="M123">_xlfn.IFS(Table1[[#This Row],[Age]]="", "Missing", Table1[[#This Row],[Age]]&lt;20, "Below 20", Table1[[#This Row],[Age]]&lt;30, "20-29", Table1[[#This Row],[Age]]&lt;40, "30-39", Table1[[#This Row],[Age]]&lt;50, "40-49", Table1[[#This Row],[Age]]&lt;60, "50-59", Table1[[#This Row],[Age]]&gt;=60, "60+")</f>
        <v>20-29</v>
      </c>
      <c r="N123" t="str" cm="1">
        <f t="array" ref="N123">_xlfn.IFS(Table1[[#This Row],[Days_to_Activate]]&lt;=3, "Fast", Table1[[#This Row],[Days_to_Activate]]&lt;=7, "Moderate", Table1[[#This Row],[Days_to_Activate]]&lt;=14, "Slow", Table1[[#This Row],[Days_to_Activate]]&gt;14, "Outlier")</f>
        <v>Moderate</v>
      </c>
    </row>
    <row r="124" spans="1:14" x14ac:dyDescent="0.25">
      <c r="A124" t="s">
        <v>197</v>
      </c>
      <c r="B124">
        <v>37</v>
      </c>
      <c r="C124" t="s">
        <v>22</v>
      </c>
      <c r="D124" t="s">
        <v>23</v>
      </c>
      <c r="E124" s="2">
        <v>46168</v>
      </c>
      <c r="F124" t="s">
        <v>16</v>
      </c>
      <c r="G124" t="s">
        <v>37</v>
      </c>
      <c r="I124" t="s">
        <v>20</v>
      </c>
      <c r="J124" s="1">
        <v>4</v>
      </c>
      <c r="K124" s="3">
        <v>9260</v>
      </c>
      <c r="L124">
        <v>1</v>
      </c>
      <c r="M124" t="str" cm="1">
        <f t="array" ref="M124">_xlfn.IFS(Table1[[#This Row],[Age]]="", "Missing", Table1[[#This Row],[Age]]&lt;20, "Below 20", Table1[[#This Row],[Age]]&lt;30, "20-29", Table1[[#This Row],[Age]]&lt;40, "30-39", Table1[[#This Row],[Age]]&lt;50, "40-49", Table1[[#This Row],[Age]]&lt;60, "50-59", Table1[[#This Row],[Age]]&gt;=60, "60+")</f>
        <v>30-39</v>
      </c>
      <c r="N124" t="str" cm="1">
        <f t="array" ref="N124">_xlfn.IFS(Table1[[#This Row],[Days_to_Activate]]&lt;=3, "Fast", Table1[[#This Row],[Days_to_Activate]]&lt;=7, "Moderate", Table1[[#This Row],[Days_to_Activate]]&lt;=14, "Slow", Table1[[#This Row],[Days_to_Activate]]&gt;14, "Outlier")</f>
        <v>Fast</v>
      </c>
    </row>
    <row r="125" spans="1:14" x14ac:dyDescent="0.25">
      <c r="A125" t="s">
        <v>199</v>
      </c>
      <c r="B125">
        <v>35</v>
      </c>
      <c r="C125" t="s">
        <v>22</v>
      </c>
      <c r="D125" t="s">
        <v>26</v>
      </c>
      <c r="E125" s="2">
        <v>46147</v>
      </c>
      <c r="F125" t="s">
        <v>16</v>
      </c>
      <c r="G125" t="s">
        <v>17</v>
      </c>
      <c r="H125">
        <v>3</v>
      </c>
      <c r="I125" t="s">
        <v>18</v>
      </c>
      <c r="J125" s="1">
        <v>14</v>
      </c>
      <c r="K125" s="3">
        <v>100170</v>
      </c>
      <c r="L125">
        <v>4</v>
      </c>
      <c r="M125" t="str" cm="1">
        <f t="array" ref="M125">_xlfn.IFS(Table1[[#This Row],[Age]]="", "Missing", Table1[[#This Row],[Age]]&lt;20, "Below 20", Table1[[#This Row],[Age]]&lt;30, "20-29", Table1[[#This Row],[Age]]&lt;40, "30-39", Table1[[#This Row],[Age]]&lt;50, "40-49", Table1[[#This Row],[Age]]&lt;60, "50-59", Table1[[#This Row],[Age]]&gt;=60, "60+")</f>
        <v>30-39</v>
      </c>
      <c r="N125" t="str" cm="1">
        <f t="array" ref="N125">_xlfn.IFS(Table1[[#This Row],[Days_to_Activate]]&lt;=3, "Fast", Table1[[#This Row],[Days_to_Activate]]&lt;=7, "Moderate", Table1[[#This Row],[Days_to_Activate]]&lt;=14, "Slow", Table1[[#This Row],[Days_to_Activate]]&gt;14, "Outlier")</f>
        <v>Fast</v>
      </c>
    </row>
    <row r="126" spans="1:14" x14ac:dyDescent="0.25">
      <c r="A126" t="s">
        <v>200</v>
      </c>
      <c r="B126">
        <v>25</v>
      </c>
      <c r="C126" t="s">
        <v>22</v>
      </c>
      <c r="D126" t="s">
        <v>30</v>
      </c>
      <c r="E126" s="2">
        <v>46174</v>
      </c>
      <c r="F126" t="s">
        <v>16</v>
      </c>
      <c r="G126" t="s">
        <v>17</v>
      </c>
      <c r="H126">
        <v>0</v>
      </c>
      <c r="I126" t="s">
        <v>20</v>
      </c>
      <c r="J126" s="1">
        <v>76</v>
      </c>
      <c r="K126" s="3">
        <v>182172</v>
      </c>
      <c r="L126">
        <v>3</v>
      </c>
      <c r="M126" t="str" cm="1">
        <f t="array" ref="M126">_xlfn.IFS(Table1[[#This Row],[Age]]="", "Missing", Table1[[#This Row],[Age]]&lt;20, "Below 20", Table1[[#This Row],[Age]]&lt;30, "20-29", Table1[[#This Row],[Age]]&lt;40, "30-39", Table1[[#This Row],[Age]]&lt;50, "40-49", Table1[[#This Row],[Age]]&lt;60, "50-59", Table1[[#This Row],[Age]]&gt;=60, "60+")</f>
        <v>20-29</v>
      </c>
      <c r="N126" t="str" cm="1">
        <f t="array" ref="N126">_xlfn.IFS(Table1[[#This Row],[Days_to_Activate]]&lt;=3, "Fast", Table1[[#This Row],[Days_to_Activate]]&lt;=7, "Moderate", Table1[[#This Row],[Days_to_Activate]]&lt;=14, "Slow", Table1[[#This Row],[Days_to_Activate]]&gt;14, "Outlier")</f>
        <v>Fast</v>
      </c>
    </row>
    <row r="127" spans="1:14" x14ac:dyDescent="0.25">
      <c r="A127" t="s">
        <v>201</v>
      </c>
      <c r="B127">
        <v>31</v>
      </c>
      <c r="C127" t="s">
        <v>22</v>
      </c>
      <c r="D127" t="s">
        <v>91</v>
      </c>
      <c r="E127" s="2">
        <v>46058</v>
      </c>
      <c r="F127" t="s">
        <v>16</v>
      </c>
      <c r="G127" t="s">
        <v>17</v>
      </c>
      <c r="H127">
        <v>1</v>
      </c>
      <c r="I127" t="s">
        <v>20</v>
      </c>
      <c r="J127" s="1">
        <v>55</v>
      </c>
      <c r="K127" s="3">
        <v>240790</v>
      </c>
      <c r="L127">
        <v>3</v>
      </c>
      <c r="M127" t="str" cm="1">
        <f t="array" ref="M127">_xlfn.IFS(Table1[[#This Row],[Age]]="", "Missing", Table1[[#This Row],[Age]]&lt;20, "Below 20", Table1[[#This Row],[Age]]&lt;30, "20-29", Table1[[#This Row],[Age]]&lt;40, "30-39", Table1[[#This Row],[Age]]&lt;50, "40-49", Table1[[#This Row],[Age]]&lt;60, "50-59", Table1[[#This Row],[Age]]&gt;=60, "60+")</f>
        <v>30-39</v>
      </c>
      <c r="N127" t="str" cm="1">
        <f t="array" ref="N127">_xlfn.IFS(Table1[[#This Row],[Days_to_Activate]]&lt;=3, "Fast", Table1[[#This Row],[Days_to_Activate]]&lt;=7, "Moderate", Table1[[#This Row],[Days_to_Activate]]&lt;=14, "Slow", Table1[[#This Row],[Days_to_Activate]]&gt;14, "Outlier")</f>
        <v>Fast</v>
      </c>
    </row>
    <row r="128" spans="1:14" x14ac:dyDescent="0.25">
      <c r="A128" t="s">
        <v>202</v>
      </c>
      <c r="B128">
        <v>42</v>
      </c>
      <c r="C128" t="s">
        <v>13</v>
      </c>
      <c r="D128" t="s">
        <v>49</v>
      </c>
      <c r="E128" s="2">
        <v>46194</v>
      </c>
      <c r="F128" t="s">
        <v>16</v>
      </c>
      <c r="G128" t="s">
        <v>17</v>
      </c>
      <c r="H128">
        <v>13</v>
      </c>
      <c r="I128" t="s">
        <v>18</v>
      </c>
      <c r="J128" s="1">
        <v>55</v>
      </c>
      <c r="K128" s="3">
        <v>99385</v>
      </c>
      <c r="L128">
        <v>4</v>
      </c>
      <c r="M128" t="str" cm="1">
        <f t="array" ref="M128">_xlfn.IFS(Table1[[#This Row],[Age]]="", "Missing", Table1[[#This Row],[Age]]&lt;20, "Below 20", Table1[[#This Row],[Age]]&lt;30, "20-29", Table1[[#This Row],[Age]]&lt;40, "30-39", Table1[[#This Row],[Age]]&lt;50, "40-49", Table1[[#This Row],[Age]]&lt;60, "50-59", Table1[[#This Row],[Age]]&gt;=60, "60+")</f>
        <v>40-49</v>
      </c>
      <c r="N128" t="str" cm="1">
        <f t="array" ref="N128">_xlfn.IFS(Table1[[#This Row],[Days_to_Activate]]&lt;=3, "Fast", Table1[[#This Row],[Days_to_Activate]]&lt;=7, "Moderate", Table1[[#This Row],[Days_to_Activate]]&lt;=14, "Slow", Table1[[#This Row],[Days_to_Activate]]&gt;14, "Outlier")</f>
        <v>Slow</v>
      </c>
    </row>
    <row r="129" spans="1:14" x14ac:dyDescent="0.25">
      <c r="A129" t="s">
        <v>204</v>
      </c>
      <c r="B129">
        <v>22</v>
      </c>
      <c r="C129" t="s">
        <v>22</v>
      </c>
      <c r="D129" t="s">
        <v>26</v>
      </c>
      <c r="E129" s="2">
        <v>46169</v>
      </c>
      <c r="F129" t="s">
        <v>16</v>
      </c>
      <c r="G129" t="s">
        <v>17</v>
      </c>
      <c r="H129">
        <v>4</v>
      </c>
      <c r="I129" t="s">
        <v>20</v>
      </c>
      <c r="J129" s="1">
        <v>2</v>
      </c>
      <c r="K129" s="3">
        <v>13642</v>
      </c>
      <c r="L129">
        <v>2</v>
      </c>
      <c r="M129" t="str" cm="1">
        <f t="array" ref="M129">_xlfn.IFS(Table1[[#This Row],[Age]]="", "Missing", Table1[[#This Row],[Age]]&lt;20, "Below 20", Table1[[#This Row],[Age]]&lt;30, "20-29", Table1[[#This Row],[Age]]&lt;40, "30-39", Table1[[#This Row],[Age]]&lt;50, "40-49", Table1[[#This Row],[Age]]&lt;60, "50-59", Table1[[#This Row],[Age]]&gt;=60, "60+")</f>
        <v>20-29</v>
      </c>
      <c r="N129" t="str" cm="1">
        <f t="array" ref="N129">_xlfn.IFS(Table1[[#This Row],[Days_to_Activate]]&lt;=3, "Fast", Table1[[#This Row],[Days_to_Activate]]&lt;=7, "Moderate", Table1[[#This Row],[Days_to_Activate]]&lt;=14, "Slow", Table1[[#This Row],[Days_to_Activate]]&gt;14, "Outlier")</f>
        <v>Moderate</v>
      </c>
    </row>
    <row r="130" spans="1:14" x14ac:dyDescent="0.25">
      <c r="A130" t="s">
        <v>205</v>
      </c>
      <c r="B130">
        <v>57</v>
      </c>
      <c r="C130" t="s">
        <v>22</v>
      </c>
      <c r="D130" t="s">
        <v>23</v>
      </c>
      <c r="E130" s="2">
        <v>46115</v>
      </c>
      <c r="F130" t="s">
        <v>16</v>
      </c>
      <c r="G130" t="s">
        <v>17</v>
      </c>
      <c r="H130">
        <v>3</v>
      </c>
      <c r="I130" t="s">
        <v>20</v>
      </c>
      <c r="J130" s="1">
        <v>51</v>
      </c>
      <c r="K130" s="3">
        <v>514284</v>
      </c>
      <c r="L130">
        <v>3</v>
      </c>
      <c r="M130" t="str" cm="1">
        <f t="array" ref="M130">_xlfn.IFS(Table1[[#This Row],[Age]]="", "Missing", Table1[[#This Row],[Age]]&lt;20, "Below 20", Table1[[#This Row],[Age]]&lt;30, "20-29", Table1[[#This Row],[Age]]&lt;40, "30-39", Table1[[#This Row],[Age]]&lt;50, "40-49", Table1[[#This Row],[Age]]&lt;60, "50-59", Table1[[#This Row],[Age]]&gt;=60, "60+")</f>
        <v>50-59</v>
      </c>
      <c r="N130" t="str" cm="1">
        <f t="array" ref="N130">_xlfn.IFS(Table1[[#This Row],[Days_to_Activate]]&lt;=3, "Fast", Table1[[#This Row],[Days_to_Activate]]&lt;=7, "Moderate", Table1[[#This Row],[Days_to_Activate]]&lt;=14, "Slow", Table1[[#This Row],[Days_to_Activate]]&gt;14, "Outlier")</f>
        <v>Fast</v>
      </c>
    </row>
    <row r="131" spans="1:14" x14ac:dyDescent="0.25">
      <c r="A131" t="s">
        <v>206</v>
      </c>
      <c r="B131">
        <v>43</v>
      </c>
      <c r="C131" t="s">
        <v>22</v>
      </c>
      <c r="D131" t="s">
        <v>30</v>
      </c>
      <c r="E131" s="2">
        <v>46079</v>
      </c>
      <c r="F131" t="s">
        <v>16</v>
      </c>
      <c r="G131" t="s">
        <v>17</v>
      </c>
      <c r="H131">
        <v>8</v>
      </c>
      <c r="I131" t="s">
        <v>18</v>
      </c>
      <c r="J131" s="1">
        <v>67</v>
      </c>
      <c r="K131" s="3">
        <v>660285</v>
      </c>
      <c r="L131">
        <v>2</v>
      </c>
      <c r="M131" t="str" cm="1">
        <f t="array" ref="M131">_xlfn.IFS(Table1[[#This Row],[Age]]="", "Missing", Table1[[#This Row],[Age]]&lt;20, "Below 20", Table1[[#This Row],[Age]]&lt;30, "20-29", Table1[[#This Row],[Age]]&lt;40, "30-39", Table1[[#This Row],[Age]]&lt;50, "40-49", Table1[[#This Row],[Age]]&lt;60, "50-59", Table1[[#This Row],[Age]]&gt;=60, "60+")</f>
        <v>40-49</v>
      </c>
      <c r="N131" t="str" cm="1">
        <f t="array" ref="N131">_xlfn.IFS(Table1[[#This Row],[Days_to_Activate]]&lt;=3, "Fast", Table1[[#This Row],[Days_to_Activate]]&lt;=7, "Moderate", Table1[[#This Row],[Days_to_Activate]]&lt;=14, "Slow", Table1[[#This Row],[Days_to_Activate]]&gt;14, "Outlier")</f>
        <v>Slow</v>
      </c>
    </row>
    <row r="132" spans="1:14" x14ac:dyDescent="0.25">
      <c r="A132" t="s">
        <v>207</v>
      </c>
      <c r="B132">
        <v>40</v>
      </c>
      <c r="C132" t="s">
        <v>22</v>
      </c>
      <c r="D132" t="s">
        <v>30</v>
      </c>
      <c r="E132" s="2">
        <v>46188</v>
      </c>
      <c r="F132" t="s">
        <v>16</v>
      </c>
      <c r="G132" t="s">
        <v>17</v>
      </c>
      <c r="H132">
        <v>2</v>
      </c>
      <c r="I132" t="s">
        <v>20</v>
      </c>
      <c r="J132" s="1">
        <v>22</v>
      </c>
      <c r="K132" s="3">
        <v>250118</v>
      </c>
      <c r="L132">
        <v>3</v>
      </c>
      <c r="M132" t="str" cm="1">
        <f t="array" ref="M132">_xlfn.IFS(Table1[[#This Row],[Age]]="", "Missing", Table1[[#This Row],[Age]]&lt;20, "Below 20", Table1[[#This Row],[Age]]&lt;30, "20-29", Table1[[#This Row],[Age]]&lt;40, "30-39", Table1[[#This Row],[Age]]&lt;50, "40-49", Table1[[#This Row],[Age]]&lt;60, "50-59", Table1[[#This Row],[Age]]&gt;=60, "60+")</f>
        <v>40-49</v>
      </c>
      <c r="N132" t="str" cm="1">
        <f t="array" ref="N132">_xlfn.IFS(Table1[[#This Row],[Days_to_Activate]]&lt;=3, "Fast", Table1[[#This Row],[Days_to_Activate]]&lt;=7, "Moderate", Table1[[#This Row],[Days_to_Activate]]&lt;=14, "Slow", Table1[[#This Row],[Days_to_Activate]]&gt;14, "Outlier")</f>
        <v>Fast</v>
      </c>
    </row>
    <row r="133" spans="1:14" x14ac:dyDescent="0.25">
      <c r="A133" t="s">
        <v>208</v>
      </c>
      <c r="B133">
        <v>59</v>
      </c>
      <c r="C133" t="s">
        <v>13</v>
      </c>
      <c r="D133" t="s">
        <v>14</v>
      </c>
      <c r="E133" s="2">
        <v>46183</v>
      </c>
      <c r="F133" t="s">
        <v>16</v>
      </c>
      <c r="G133" t="s">
        <v>17</v>
      </c>
      <c r="H133">
        <v>12</v>
      </c>
      <c r="I133" t="s">
        <v>20</v>
      </c>
      <c r="J133" s="1">
        <v>72</v>
      </c>
      <c r="K133" s="3">
        <v>857376</v>
      </c>
      <c r="L133">
        <v>3</v>
      </c>
      <c r="M133" t="str" cm="1">
        <f t="array" ref="M133">_xlfn.IFS(Table1[[#This Row],[Age]]="", "Missing", Table1[[#This Row],[Age]]&lt;20, "Below 20", Table1[[#This Row],[Age]]&lt;30, "20-29", Table1[[#This Row],[Age]]&lt;40, "30-39", Table1[[#This Row],[Age]]&lt;50, "40-49", Table1[[#This Row],[Age]]&lt;60, "50-59", Table1[[#This Row],[Age]]&gt;=60, "60+")</f>
        <v>50-59</v>
      </c>
      <c r="N133" t="str" cm="1">
        <f t="array" ref="N133">_xlfn.IFS(Table1[[#This Row],[Days_to_Activate]]&lt;=3, "Fast", Table1[[#This Row],[Days_to_Activate]]&lt;=7, "Moderate", Table1[[#This Row],[Days_to_Activate]]&lt;=14, "Slow", Table1[[#This Row],[Days_to_Activate]]&gt;14, "Outlier")</f>
        <v>Slow</v>
      </c>
    </row>
    <row r="134" spans="1:14" x14ac:dyDescent="0.25">
      <c r="A134" t="s">
        <v>209</v>
      </c>
      <c r="B134">
        <v>58</v>
      </c>
      <c r="C134" t="s">
        <v>22</v>
      </c>
      <c r="D134" t="s">
        <v>14</v>
      </c>
      <c r="E134" s="2">
        <v>46040</v>
      </c>
      <c r="F134" t="s">
        <v>16</v>
      </c>
      <c r="G134" t="s">
        <v>17</v>
      </c>
      <c r="H134">
        <v>12</v>
      </c>
      <c r="I134" t="s">
        <v>20</v>
      </c>
      <c r="J134" s="1">
        <v>7</v>
      </c>
      <c r="K134" s="3">
        <v>50862</v>
      </c>
      <c r="L134">
        <v>1</v>
      </c>
      <c r="M134" t="str" cm="1">
        <f t="array" ref="M134">_xlfn.IFS(Table1[[#This Row],[Age]]="", "Missing", Table1[[#This Row],[Age]]&lt;20, "Below 20", Table1[[#This Row],[Age]]&lt;30, "20-29", Table1[[#This Row],[Age]]&lt;40, "30-39", Table1[[#This Row],[Age]]&lt;50, "40-49", Table1[[#This Row],[Age]]&lt;60, "50-59", Table1[[#This Row],[Age]]&gt;=60, "60+")</f>
        <v>50-59</v>
      </c>
      <c r="N134" t="str" cm="1">
        <f t="array" ref="N134">_xlfn.IFS(Table1[[#This Row],[Days_to_Activate]]&lt;=3, "Fast", Table1[[#This Row],[Days_to_Activate]]&lt;=7, "Moderate", Table1[[#This Row],[Days_to_Activate]]&lt;=14, "Slow", Table1[[#This Row],[Days_to_Activate]]&gt;14, "Outlier")</f>
        <v>Slow</v>
      </c>
    </row>
    <row r="135" spans="1:14" x14ac:dyDescent="0.25">
      <c r="A135" t="s">
        <v>210</v>
      </c>
      <c r="B135">
        <v>37</v>
      </c>
      <c r="C135" t="s">
        <v>22</v>
      </c>
      <c r="D135" t="s">
        <v>49</v>
      </c>
      <c r="E135" s="2">
        <v>46037</v>
      </c>
      <c r="F135" t="s">
        <v>16</v>
      </c>
      <c r="G135" t="s">
        <v>17</v>
      </c>
      <c r="H135">
        <v>10</v>
      </c>
      <c r="I135" t="s">
        <v>18</v>
      </c>
      <c r="J135" s="1">
        <v>11</v>
      </c>
      <c r="K135" s="3">
        <v>127336</v>
      </c>
      <c r="L135">
        <v>4</v>
      </c>
      <c r="M135" t="str" cm="1">
        <f t="array" ref="M135">_xlfn.IFS(Table1[[#This Row],[Age]]="", "Missing", Table1[[#This Row],[Age]]&lt;20, "Below 20", Table1[[#This Row],[Age]]&lt;30, "20-29", Table1[[#This Row],[Age]]&lt;40, "30-39", Table1[[#This Row],[Age]]&lt;50, "40-49", Table1[[#This Row],[Age]]&lt;60, "50-59", Table1[[#This Row],[Age]]&gt;=60, "60+")</f>
        <v>30-39</v>
      </c>
      <c r="N135" t="str" cm="1">
        <f t="array" ref="N135">_xlfn.IFS(Table1[[#This Row],[Days_to_Activate]]&lt;=3, "Fast", Table1[[#This Row],[Days_to_Activate]]&lt;=7, "Moderate", Table1[[#This Row],[Days_to_Activate]]&lt;=14, "Slow", Table1[[#This Row],[Days_to_Activate]]&gt;14, "Outlier")</f>
        <v>Slow</v>
      </c>
    </row>
    <row r="136" spans="1:14" x14ac:dyDescent="0.25">
      <c r="A136" t="s">
        <v>211</v>
      </c>
      <c r="B136">
        <v>47</v>
      </c>
      <c r="C136" t="s">
        <v>13</v>
      </c>
      <c r="D136" t="s">
        <v>49</v>
      </c>
      <c r="E136" s="2">
        <v>46169</v>
      </c>
      <c r="F136" t="s">
        <v>16</v>
      </c>
      <c r="G136" t="s">
        <v>17</v>
      </c>
      <c r="H136">
        <v>7</v>
      </c>
      <c r="I136" t="s">
        <v>20</v>
      </c>
      <c r="J136" s="1">
        <v>7</v>
      </c>
      <c r="K136" s="3">
        <v>62167</v>
      </c>
      <c r="L136">
        <v>1</v>
      </c>
      <c r="M136" t="str" cm="1">
        <f t="array" ref="M136">_xlfn.IFS(Table1[[#This Row],[Age]]="", "Missing", Table1[[#This Row],[Age]]&lt;20, "Below 20", Table1[[#This Row],[Age]]&lt;30, "20-29", Table1[[#This Row],[Age]]&lt;40, "30-39", Table1[[#This Row],[Age]]&lt;50, "40-49", Table1[[#This Row],[Age]]&lt;60, "50-59", Table1[[#This Row],[Age]]&gt;=60, "60+")</f>
        <v>40-49</v>
      </c>
      <c r="N136" t="str" cm="1">
        <f t="array" ref="N136">_xlfn.IFS(Table1[[#This Row],[Days_to_Activate]]&lt;=3, "Fast", Table1[[#This Row],[Days_to_Activate]]&lt;=7, "Moderate", Table1[[#This Row],[Days_to_Activate]]&lt;=14, "Slow", Table1[[#This Row],[Days_to_Activate]]&gt;14, "Outlier")</f>
        <v>Moderate</v>
      </c>
    </row>
    <row r="137" spans="1:14" x14ac:dyDescent="0.25">
      <c r="A137" t="s">
        <v>212</v>
      </c>
      <c r="B137">
        <v>39</v>
      </c>
      <c r="C137" t="s">
        <v>13</v>
      </c>
      <c r="D137" t="s">
        <v>49</v>
      </c>
      <c r="E137" s="2">
        <v>46067</v>
      </c>
      <c r="F137" t="s">
        <v>16</v>
      </c>
      <c r="G137" t="s">
        <v>17</v>
      </c>
      <c r="H137">
        <v>7</v>
      </c>
      <c r="I137" t="s">
        <v>20</v>
      </c>
      <c r="J137" s="1">
        <v>78</v>
      </c>
      <c r="K137" s="3">
        <v>319800</v>
      </c>
      <c r="L137">
        <v>3</v>
      </c>
      <c r="M137" t="str" cm="1">
        <f t="array" ref="M137">_xlfn.IFS(Table1[[#This Row],[Age]]="", "Missing", Table1[[#This Row],[Age]]&lt;20, "Below 20", Table1[[#This Row],[Age]]&lt;30, "20-29", Table1[[#This Row],[Age]]&lt;40, "30-39", Table1[[#This Row],[Age]]&lt;50, "40-49", Table1[[#This Row],[Age]]&lt;60, "50-59", Table1[[#This Row],[Age]]&gt;=60, "60+")</f>
        <v>30-39</v>
      </c>
      <c r="N137" t="str" cm="1">
        <f t="array" ref="N137">_xlfn.IFS(Table1[[#This Row],[Days_to_Activate]]&lt;=3, "Fast", Table1[[#This Row],[Days_to_Activate]]&lt;=7, "Moderate", Table1[[#This Row],[Days_to_Activate]]&lt;=14, "Slow", Table1[[#This Row],[Days_to_Activate]]&gt;14, "Outlier")</f>
        <v>Moderate</v>
      </c>
    </row>
    <row r="138" spans="1:14" x14ac:dyDescent="0.25">
      <c r="A138" t="s">
        <v>213</v>
      </c>
      <c r="B138">
        <v>41</v>
      </c>
      <c r="C138" t="s">
        <v>22</v>
      </c>
      <c r="D138" t="s">
        <v>14</v>
      </c>
      <c r="E138" s="2">
        <v>46109</v>
      </c>
      <c r="F138" t="s">
        <v>16</v>
      </c>
      <c r="G138" t="s">
        <v>17</v>
      </c>
      <c r="H138">
        <v>10</v>
      </c>
      <c r="I138" t="s">
        <v>18</v>
      </c>
      <c r="J138" s="1">
        <v>8</v>
      </c>
      <c r="K138" s="3">
        <v>55208</v>
      </c>
      <c r="L138">
        <v>1</v>
      </c>
      <c r="M138" t="str" cm="1">
        <f t="array" ref="M138">_xlfn.IFS(Table1[[#This Row],[Age]]="", "Missing", Table1[[#This Row],[Age]]&lt;20, "Below 20", Table1[[#This Row],[Age]]&lt;30, "20-29", Table1[[#This Row],[Age]]&lt;40, "30-39", Table1[[#This Row],[Age]]&lt;50, "40-49", Table1[[#This Row],[Age]]&lt;60, "50-59", Table1[[#This Row],[Age]]&gt;=60, "60+")</f>
        <v>40-49</v>
      </c>
      <c r="N138" t="str" cm="1">
        <f t="array" ref="N138">_xlfn.IFS(Table1[[#This Row],[Days_to_Activate]]&lt;=3, "Fast", Table1[[#This Row],[Days_to_Activate]]&lt;=7, "Moderate", Table1[[#This Row],[Days_to_Activate]]&lt;=14, "Slow", Table1[[#This Row],[Days_to_Activate]]&gt;14, "Outlier")</f>
        <v>Slow</v>
      </c>
    </row>
    <row r="139" spans="1:14" x14ac:dyDescent="0.25">
      <c r="A139" t="s">
        <v>215</v>
      </c>
      <c r="B139">
        <v>53</v>
      </c>
      <c r="C139" t="s">
        <v>22</v>
      </c>
      <c r="D139" t="s">
        <v>14</v>
      </c>
      <c r="E139" s="2">
        <v>46191</v>
      </c>
      <c r="F139" t="s">
        <v>36</v>
      </c>
      <c r="G139" t="s">
        <v>37</v>
      </c>
      <c r="I139" t="s">
        <v>20</v>
      </c>
      <c r="J139" s="1">
        <v>0</v>
      </c>
      <c r="K139" s="3">
        <v>0</v>
      </c>
      <c r="L139">
        <v>2</v>
      </c>
      <c r="M139" t="str" cm="1">
        <f t="array" ref="M139">_xlfn.IFS(Table1[[#This Row],[Age]]="", "Missing", Table1[[#This Row],[Age]]&lt;20, "Below 20", Table1[[#This Row],[Age]]&lt;30, "20-29", Table1[[#This Row],[Age]]&lt;40, "30-39", Table1[[#This Row],[Age]]&lt;50, "40-49", Table1[[#This Row],[Age]]&lt;60, "50-59", Table1[[#This Row],[Age]]&gt;=60, "60+")</f>
        <v>50-59</v>
      </c>
      <c r="N139" t="str" cm="1">
        <f t="array" ref="N139">_xlfn.IFS(Table1[[#This Row],[Days_to_Activate]]&lt;=3, "Fast", Table1[[#This Row],[Days_to_Activate]]&lt;=7, "Moderate", Table1[[#This Row],[Days_to_Activate]]&lt;=14, "Slow", Table1[[#This Row],[Days_to_Activate]]&gt;14, "Outlier")</f>
        <v>Fast</v>
      </c>
    </row>
    <row r="140" spans="1:14" x14ac:dyDescent="0.25">
      <c r="A140" t="s">
        <v>217</v>
      </c>
      <c r="B140">
        <v>40</v>
      </c>
      <c r="C140" t="s">
        <v>22</v>
      </c>
      <c r="D140" t="s">
        <v>33</v>
      </c>
      <c r="E140" s="2">
        <v>46201</v>
      </c>
      <c r="F140" t="s">
        <v>16</v>
      </c>
      <c r="G140" t="s">
        <v>17</v>
      </c>
      <c r="H140">
        <v>11</v>
      </c>
      <c r="I140" t="s">
        <v>43</v>
      </c>
      <c r="J140" s="1">
        <v>39</v>
      </c>
      <c r="K140" s="3">
        <v>415623</v>
      </c>
      <c r="L140">
        <v>4</v>
      </c>
      <c r="M140" t="str" cm="1">
        <f t="array" ref="M140">_xlfn.IFS(Table1[[#This Row],[Age]]="", "Missing", Table1[[#This Row],[Age]]&lt;20, "Below 20", Table1[[#This Row],[Age]]&lt;30, "20-29", Table1[[#This Row],[Age]]&lt;40, "30-39", Table1[[#This Row],[Age]]&lt;50, "40-49", Table1[[#This Row],[Age]]&lt;60, "50-59", Table1[[#This Row],[Age]]&gt;=60, "60+")</f>
        <v>40-49</v>
      </c>
      <c r="N140" t="str" cm="1">
        <f t="array" ref="N140">_xlfn.IFS(Table1[[#This Row],[Days_to_Activate]]&lt;=3, "Fast", Table1[[#This Row],[Days_to_Activate]]&lt;=7, "Moderate", Table1[[#This Row],[Days_to_Activate]]&lt;=14, "Slow", Table1[[#This Row],[Days_to_Activate]]&gt;14, "Outlier")</f>
        <v>Slow</v>
      </c>
    </row>
    <row r="141" spans="1:14" x14ac:dyDescent="0.25">
      <c r="A141" t="s">
        <v>218</v>
      </c>
      <c r="B141">
        <v>59</v>
      </c>
      <c r="C141" t="s">
        <v>22</v>
      </c>
      <c r="D141" t="s">
        <v>23</v>
      </c>
      <c r="E141" s="2">
        <v>46194</v>
      </c>
      <c r="F141" t="s">
        <v>16</v>
      </c>
      <c r="G141" t="s">
        <v>37</v>
      </c>
      <c r="I141" t="s">
        <v>43</v>
      </c>
      <c r="J141" s="1">
        <v>4</v>
      </c>
      <c r="K141" s="3">
        <v>12124</v>
      </c>
      <c r="L141">
        <v>4</v>
      </c>
      <c r="M141" t="str" cm="1">
        <f t="array" ref="M141">_xlfn.IFS(Table1[[#This Row],[Age]]="", "Missing", Table1[[#This Row],[Age]]&lt;20, "Below 20", Table1[[#This Row],[Age]]&lt;30, "20-29", Table1[[#This Row],[Age]]&lt;40, "30-39", Table1[[#This Row],[Age]]&lt;50, "40-49", Table1[[#This Row],[Age]]&lt;60, "50-59", Table1[[#This Row],[Age]]&gt;=60, "60+")</f>
        <v>50-59</v>
      </c>
      <c r="N141" t="str" cm="1">
        <f t="array" ref="N141">_xlfn.IFS(Table1[[#This Row],[Days_to_Activate]]&lt;=3, "Fast", Table1[[#This Row],[Days_to_Activate]]&lt;=7, "Moderate", Table1[[#This Row],[Days_to_Activate]]&lt;=14, "Slow", Table1[[#This Row],[Days_to_Activate]]&gt;14, "Outlier")</f>
        <v>Fast</v>
      </c>
    </row>
    <row r="142" spans="1:14" x14ac:dyDescent="0.25">
      <c r="A142" t="s">
        <v>219</v>
      </c>
      <c r="B142">
        <v>50</v>
      </c>
      <c r="C142" t="s">
        <v>22</v>
      </c>
      <c r="D142" t="s">
        <v>14</v>
      </c>
      <c r="E142" s="2">
        <v>46102</v>
      </c>
      <c r="F142" t="s">
        <v>16</v>
      </c>
      <c r="G142" t="s">
        <v>17</v>
      </c>
      <c r="H142">
        <v>12</v>
      </c>
      <c r="I142" t="s">
        <v>20</v>
      </c>
      <c r="J142" s="1">
        <v>28</v>
      </c>
      <c r="K142" s="3">
        <v>105084</v>
      </c>
      <c r="L142">
        <v>2</v>
      </c>
      <c r="M142" t="str" cm="1">
        <f t="array" ref="M142">_xlfn.IFS(Table1[[#This Row],[Age]]="", "Missing", Table1[[#This Row],[Age]]&lt;20, "Below 20", Table1[[#This Row],[Age]]&lt;30, "20-29", Table1[[#This Row],[Age]]&lt;40, "30-39", Table1[[#This Row],[Age]]&lt;50, "40-49", Table1[[#This Row],[Age]]&lt;60, "50-59", Table1[[#This Row],[Age]]&gt;=60, "60+")</f>
        <v>50-59</v>
      </c>
      <c r="N142" t="str" cm="1">
        <f t="array" ref="N142">_xlfn.IFS(Table1[[#This Row],[Days_to_Activate]]&lt;=3, "Fast", Table1[[#This Row],[Days_to_Activate]]&lt;=7, "Moderate", Table1[[#This Row],[Days_to_Activate]]&lt;=14, "Slow", Table1[[#This Row],[Days_to_Activate]]&gt;14, "Outlier")</f>
        <v>Slow</v>
      </c>
    </row>
    <row r="143" spans="1:14" x14ac:dyDescent="0.25">
      <c r="A143" t="s">
        <v>220</v>
      </c>
      <c r="B143">
        <v>22</v>
      </c>
      <c r="C143" t="s">
        <v>22</v>
      </c>
      <c r="D143" t="s">
        <v>23</v>
      </c>
      <c r="E143" s="2">
        <v>46048</v>
      </c>
      <c r="F143" t="s">
        <v>16</v>
      </c>
      <c r="G143" t="s">
        <v>17</v>
      </c>
      <c r="H143">
        <v>11</v>
      </c>
      <c r="I143" t="s">
        <v>18</v>
      </c>
      <c r="J143" s="1">
        <v>4</v>
      </c>
      <c r="K143" s="3">
        <v>28068</v>
      </c>
      <c r="L143">
        <v>2</v>
      </c>
      <c r="M143" t="str" cm="1">
        <f t="array" ref="M143">_xlfn.IFS(Table1[[#This Row],[Age]]="", "Missing", Table1[[#This Row],[Age]]&lt;20, "Below 20", Table1[[#This Row],[Age]]&lt;30, "20-29", Table1[[#This Row],[Age]]&lt;40, "30-39", Table1[[#This Row],[Age]]&lt;50, "40-49", Table1[[#This Row],[Age]]&lt;60, "50-59", Table1[[#This Row],[Age]]&gt;=60, "60+")</f>
        <v>20-29</v>
      </c>
      <c r="N143" t="str" cm="1">
        <f t="array" ref="N143">_xlfn.IFS(Table1[[#This Row],[Days_to_Activate]]&lt;=3, "Fast", Table1[[#This Row],[Days_to_Activate]]&lt;=7, "Moderate", Table1[[#This Row],[Days_to_Activate]]&lt;=14, "Slow", Table1[[#This Row],[Days_to_Activate]]&gt;14, "Outlier")</f>
        <v>Slow</v>
      </c>
    </row>
    <row r="144" spans="1:14" x14ac:dyDescent="0.25">
      <c r="A144" t="s">
        <v>221</v>
      </c>
      <c r="B144">
        <v>56</v>
      </c>
      <c r="C144" t="s">
        <v>22</v>
      </c>
      <c r="D144" t="s">
        <v>14</v>
      </c>
      <c r="E144" s="2">
        <v>46069</v>
      </c>
      <c r="F144" t="s">
        <v>16</v>
      </c>
      <c r="G144" t="s">
        <v>17</v>
      </c>
      <c r="H144">
        <v>12</v>
      </c>
      <c r="I144" t="s">
        <v>43</v>
      </c>
      <c r="J144" s="1">
        <v>56</v>
      </c>
      <c r="K144" s="3">
        <v>124040</v>
      </c>
      <c r="L144">
        <v>4</v>
      </c>
      <c r="M144" t="str" cm="1">
        <f t="array" ref="M144">_xlfn.IFS(Table1[[#This Row],[Age]]="", "Missing", Table1[[#This Row],[Age]]&lt;20, "Below 20", Table1[[#This Row],[Age]]&lt;30, "20-29", Table1[[#This Row],[Age]]&lt;40, "30-39", Table1[[#This Row],[Age]]&lt;50, "40-49", Table1[[#This Row],[Age]]&lt;60, "50-59", Table1[[#This Row],[Age]]&gt;=60, "60+")</f>
        <v>50-59</v>
      </c>
      <c r="N144" t="str" cm="1">
        <f t="array" ref="N144">_xlfn.IFS(Table1[[#This Row],[Days_to_Activate]]&lt;=3, "Fast", Table1[[#This Row],[Days_to_Activate]]&lt;=7, "Moderate", Table1[[#This Row],[Days_to_Activate]]&lt;=14, "Slow", Table1[[#This Row],[Days_to_Activate]]&gt;14, "Outlier")</f>
        <v>Slow</v>
      </c>
    </row>
    <row r="145" spans="1:14" x14ac:dyDescent="0.25">
      <c r="A145" t="s">
        <v>222</v>
      </c>
      <c r="B145">
        <v>41</v>
      </c>
      <c r="C145" t="s">
        <v>13</v>
      </c>
      <c r="D145" t="s">
        <v>33</v>
      </c>
      <c r="E145" s="2">
        <v>46179</v>
      </c>
      <c r="F145" t="s">
        <v>16</v>
      </c>
      <c r="G145" t="s">
        <v>17</v>
      </c>
      <c r="H145">
        <v>7</v>
      </c>
      <c r="I145" t="s">
        <v>20</v>
      </c>
      <c r="J145" s="1">
        <v>30</v>
      </c>
      <c r="K145" s="3">
        <v>197100</v>
      </c>
      <c r="L145">
        <v>4</v>
      </c>
      <c r="M145" t="str" cm="1">
        <f t="array" ref="M145">_xlfn.IFS(Table1[[#This Row],[Age]]="", "Missing", Table1[[#This Row],[Age]]&lt;20, "Below 20", Table1[[#This Row],[Age]]&lt;30, "20-29", Table1[[#This Row],[Age]]&lt;40, "30-39", Table1[[#This Row],[Age]]&lt;50, "40-49", Table1[[#This Row],[Age]]&lt;60, "50-59", Table1[[#This Row],[Age]]&gt;=60, "60+")</f>
        <v>40-49</v>
      </c>
      <c r="N145" t="str" cm="1">
        <f t="array" ref="N145">_xlfn.IFS(Table1[[#This Row],[Days_to_Activate]]&lt;=3, "Fast", Table1[[#This Row],[Days_to_Activate]]&lt;=7, "Moderate", Table1[[#This Row],[Days_to_Activate]]&lt;=14, "Slow", Table1[[#This Row],[Days_to_Activate]]&gt;14, "Outlier")</f>
        <v>Moderate</v>
      </c>
    </row>
    <row r="146" spans="1:14" x14ac:dyDescent="0.25">
      <c r="A146" t="s">
        <v>223</v>
      </c>
      <c r="B146">
        <v>30</v>
      </c>
      <c r="C146" t="s">
        <v>22</v>
      </c>
      <c r="D146" t="s">
        <v>30</v>
      </c>
      <c r="E146" s="2">
        <v>46169</v>
      </c>
      <c r="F146" t="s">
        <v>36</v>
      </c>
      <c r="G146" t="s">
        <v>37</v>
      </c>
      <c r="I146" t="s">
        <v>20</v>
      </c>
      <c r="J146" s="1">
        <v>3</v>
      </c>
      <c r="K146" s="3">
        <v>29217</v>
      </c>
      <c r="L146">
        <v>4</v>
      </c>
      <c r="M146" t="str" cm="1">
        <f t="array" ref="M146">_xlfn.IFS(Table1[[#This Row],[Age]]="", "Missing", Table1[[#This Row],[Age]]&lt;20, "Below 20", Table1[[#This Row],[Age]]&lt;30, "20-29", Table1[[#This Row],[Age]]&lt;40, "30-39", Table1[[#This Row],[Age]]&lt;50, "40-49", Table1[[#This Row],[Age]]&lt;60, "50-59", Table1[[#This Row],[Age]]&gt;=60, "60+")</f>
        <v>30-39</v>
      </c>
      <c r="N146" t="str" cm="1">
        <f t="array" ref="N146">_xlfn.IFS(Table1[[#This Row],[Days_to_Activate]]&lt;=3, "Fast", Table1[[#This Row],[Days_to_Activate]]&lt;=7, "Moderate", Table1[[#This Row],[Days_to_Activate]]&lt;=14, "Slow", Table1[[#This Row],[Days_to_Activate]]&gt;14, "Outlier")</f>
        <v>Fast</v>
      </c>
    </row>
    <row r="147" spans="1:14" x14ac:dyDescent="0.25">
      <c r="A147" t="s">
        <v>224</v>
      </c>
      <c r="B147">
        <v>28</v>
      </c>
      <c r="C147" t="s">
        <v>13</v>
      </c>
      <c r="D147" t="s">
        <v>23</v>
      </c>
      <c r="E147" s="2">
        <v>46058</v>
      </c>
      <c r="F147" t="s">
        <v>36</v>
      </c>
      <c r="G147" t="s">
        <v>17</v>
      </c>
      <c r="H147">
        <v>7</v>
      </c>
      <c r="I147" t="s">
        <v>18</v>
      </c>
      <c r="J147" s="1">
        <v>70</v>
      </c>
      <c r="K147" s="3">
        <v>222600</v>
      </c>
      <c r="L147">
        <v>1</v>
      </c>
      <c r="M147" t="str" cm="1">
        <f t="array" ref="M147">_xlfn.IFS(Table1[[#This Row],[Age]]="", "Missing", Table1[[#This Row],[Age]]&lt;20, "Below 20", Table1[[#This Row],[Age]]&lt;30, "20-29", Table1[[#This Row],[Age]]&lt;40, "30-39", Table1[[#This Row],[Age]]&lt;50, "40-49", Table1[[#This Row],[Age]]&lt;60, "50-59", Table1[[#This Row],[Age]]&gt;=60, "60+")</f>
        <v>20-29</v>
      </c>
      <c r="N147" t="str" cm="1">
        <f t="array" ref="N147">_xlfn.IFS(Table1[[#This Row],[Days_to_Activate]]&lt;=3, "Fast", Table1[[#This Row],[Days_to_Activate]]&lt;=7, "Moderate", Table1[[#This Row],[Days_to_Activate]]&lt;=14, "Slow", Table1[[#This Row],[Days_to_Activate]]&gt;14, "Outlier")</f>
        <v>Moderate</v>
      </c>
    </row>
    <row r="148" spans="1:14" x14ac:dyDescent="0.25">
      <c r="A148" t="s">
        <v>225</v>
      </c>
      <c r="B148">
        <v>36</v>
      </c>
      <c r="C148" t="s">
        <v>13</v>
      </c>
      <c r="D148" t="s">
        <v>30</v>
      </c>
      <c r="E148" s="2">
        <v>46092</v>
      </c>
      <c r="F148" t="s">
        <v>16</v>
      </c>
      <c r="G148" t="s">
        <v>17</v>
      </c>
      <c r="H148">
        <v>13</v>
      </c>
      <c r="I148" t="s">
        <v>20</v>
      </c>
      <c r="J148" s="1">
        <v>28</v>
      </c>
      <c r="K148" s="3">
        <v>248948</v>
      </c>
      <c r="L148">
        <v>3</v>
      </c>
      <c r="M148" t="str" cm="1">
        <f t="array" ref="M148">_xlfn.IFS(Table1[[#This Row],[Age]]="", "Missing", Table1[[#This Row],[Age]]&lt;20, "Below 20", Table1[[#This Row],[Age]]&lt;30, "20-29", Table1[[#This Row],[Age]]&lt;40, "30-39", Table1[[#This Row],[Age]]&lt;50, "40-49", Table1[[#This Row],[Age]]&lt;60, "50-59", Table1[[#This Row],[Age]]&gt;=60, "60+")</f>
        <v>30-39</v>
      </c>
      <c r="N148" t="str" cm="1">
        <f t="array" ref="N148">_xlfn.IFS(Table1[[#This Row],[Days_to_Activate]]&lt;=3, "Fast", Table1[[#This Row],[Days_to_Activate]]&lt;=7, "Moderate", Table1[[#This Row],[Days_to_Activate]]&lt;=14, "Slow", Table1[[#This Row],[Days_to_Activate]]&gt;14, "Outlier")</f>
        <v>Slow</v>
      </c>
    </row>
    <row r="149" spans="1:14" x14ac:dyDescent="0.25">
      <c r="A149" t="s">
        <v>226</v>
      </c>
      <c r="B149">
        <v>19</v>
      </c>
      <c r="C149" t="s">
        <v>22</v>
      </c>
      <c r="D149" t="s">
        <v>14</v>
      </c>
      <c r="E149" s="2">
        <v>46151</v>
      </c>
      <c r="F149" t="s">
        <v>16</v>
      </c>
      <c r="G149" t="s">
        <v>17</v>
      </c>
      <c r="H149">
        <v>1</v>
      </c>
      <c r="I149" t="s">
        <v>20</v>
      </c>
      <c r="J149" s="1">
        <v>3</v>
      </c>
      <c r="K149" s="3">
        <v>20163</v>
      </c>
      <c r="L149">
        <v>3</v>
      </c>
      <c r="M149" t="str" cm="1">
        <f t="array" ref="M149">_xlfn.IFS(Table1[[#This Row],[Age]]="", "Missing", Table1[[#This Row],[Age]]&lt;20, "Below 20", Table1[[#This Row],[Age]]&lt;30, "20-29", Table1[[#This Row],[Age]]&lt;40, "30-39", Table1[[#This Row],[Age]]&lt;50, "40-49", Table1[[#This Row],[Age]]&lt;60, "50-59", Table1[[#This Row],[Age]]&gt;=60, "60+")</f>
        <v>Below 20</v>
      </c>
      <c r="N149" t="str" cm="1">
        <f t="array" ref="N149">_xlfn.IFS(Table1[[#This Row],[Days_to_Activate]]&lt;=3, "Fast", Table1[[#This Row],[Days_to_Activate]]&lt;=7, "Moderate", Table1[[#This Row],[Days_to_Activate]]&lt;=14, "Slow", Table1[[#This Row],[Days_to_Activate]]&gt;14, "Outlier")</f>
        <v>Fast</v>
      </c>
    </row>
    <row r="150" spans="1:14" x14ac:dyDescent="0.25">
      <c r="A150" t="s">
        <v>228</v>
      </c>
      <c r="B150">
        <v>59</v>
      </c>
      <c r="C150" t="s">
        <v>22</v>
      </c>
      <c r="D150" t="s">
        <v>23</v>
      </c>
      <c r="E150" s="2">
        <v>46058</v>
      </c>
      <c r="F150" t="s">
        <v>16</v>
      </c>
      <c r="G150" t="s">
        <v>37</v>
      </c>
      <c r="I150" t="s">
        <v>20</v>
      </c>
      <c r="J150" s="1">
        <v>1</v>
      </c>
      <c r="K150" s="3">
        <v>9185</v>
      </c>
      <c r="L150">
        <v>4</v>
      </c>
      <c r="M150" t="str" cm="1">
        <f t="array" ref="M150">_xlfn.IFS(Table1[[#This Row],[Age]]="", "Missing", Table1[[#This Row],[Age]]&lt;20, "Below 20", Table1[[#This Row],[Age]]&lt;30, "20-29", Table1[[#This Row],[Age]]&lt;40, "30-39", Table1[[#This Row],[Age]]&lt;50, "40-49", Table1[[#This Row],[Age]]&lt;60, "50-59", Table1[[#This Row],[Age]]&gt;=60, "60+")</f>
        <v>50-59</v>
      </c>
      <c r="N150" t="str" cm="1">
        <f t="array" ref="N150">_xlfn.IFS(Table1[[#This Row],[Days_to_Activate]]&lt;=3, "Fast", Table1[[#This Row],[Days_to_Activate]]&lt;=7, "Moderate", Table1[[#This Row],[Days_to_Activate]]&lt;=14, "Slow", Table1[[#This Row],[Days_to_Activate]]&gt;14, "Outlier")</f>
        <v>Fast</v>
      </c>
    </row>
    <row r="151" spans="1:14" x14ac:dyDescent="0.25">
      <c r="A151" t="s">
        <v>229</v>
      </c>
      <c r="B151">
        <v>57</v>
      </c>
      <c r="C151" t="s">
        <v>13</v>
      </c>
      <c r="D151" t="s">
        <v>28</v>
      </c>
      <c r="E151" s="2">
        <v>46027</v>
      </c>
      <c r="F151" t="s">
        <v>16</v>
      </c>
      <c r="G151" t="s">
        <v>17</v>
      </c>
      <c r="H151">
        <v>45</v>
      </c>
      <c r="I151" t="s">
        <v>43</v>
      </c>
      <c r="J151" s="1">
        <v>77</v>
      </c>
      <c r="K151" s="3">
        <v>781319</v>
      </c>
      <c r="L151">
        <v>4</v>
      </c>
      <c r="M151" t="str" cm="1">
        <f t="array" ref="M151">_xlfn.IFS(Table1[[#This Row],[Age]]="", "Missing", Table1[[#This Row],[Age]]&lt;20, "Below 20", Table1[[#This Row],[Age]]&lt;30, "20-29", Table1[[#This Row],[Age]]&lt;40, "30-39", Table1[[#This Row],[Age]]&lt;50, "40-49", Table1[[#This Row],[Age]]&lt;60, "50-59", Table1[[#This Row],[Age]]&gt;=60, "60+")</f>
        <v>50-59</v>
      </c>
      <c r="N151" t="str" cm="1">
        <f t="array" ref="N151">_xlfn.IFS(Table1[[#This Row],[Days_to_Activate]]&lt;=3, "Fast", Table1[[#This Row],[Days_to_Activate]]&lt;=7, "Moderate", Table1[[#This Row],[Days_to_Activate]]&lt;=14, "Slow", Table1[[#This Row],[Days_to_Activate]]&gt;14, "Outlier")</f>
        <v>Outlier</v>
      </c>
    </row>
    <row r="152" spans="1:14" x14ac:dyDescent="0.25">
      <c r="A152" t="s">
        <v>230</v>
      </c>
      <c r="B152">
        <v>25</v>
      </c>
      <c r="C152" t="s">
        <v>22</v>
      </c>
      <c r="D152" t="s">
        <v>14</v>
      </c>
      <c r="E152" s="2">
        <v>46054</v>
      </c>
      <c r="F152" t="s">
        <v>16</v>
      </c>
      <c r="G152" t="s">
        <v>17</v>
      </c>
      <c r="H152">
        <v>12</v>
      </c>
      <c r="I152" t="s">
        <v>18</v>
      </c>
      <c r="J152" s="1">
        <v>8</v>
      </c>
      <c r="K152" s="3">
        <v>26528</v>
      </c>
      <c r="L152">
        <v>4</v>
      </c>
      <c r="M152" t="str" cm="1">
        <f t="array" ref="M152">_xlfn.IFS(Table1[[#This Row],[Age]]="", "Missing", Table1[[#This Row],[Age]]&lt;20, "Below 20", Table1[[#This Row],[Age]]&lt;30, "20-29", Table1[[#This Row],[Age]]&lt;40, "30-39", Table1[[#This Row],[Age]]&lt;50, "40-49", Table1[[#This Row],[Age]]&lt;60, "50-59", Table1[[#This Row],[Age]]&gt;=60, "60+")</f>
        <v>20-29</v>
      </c>
      <c r="N152" t="str" cm="1">
        <f t="array" ref="N152">_xlfn.IFS(Table1[[#This Row],[Days_to_Activate]]&lt;=3, "Fast", Table1[[#This Row],[Days_to_Activate]]&lt;=7, "Moderate", Table1[[#This Row],[Days_to_Activate]]&lt;=14, "Slow", Table1[[#This Row],[Days_to_Activate]]&gt;14, "Outlier")</f>
        <v>Slow</v>
      </c>
    </row>
    <row r="153" spans="1:14" x14ac:dyDescent="0.25">
      <c r="A153" t="s">
        <v>231</v>
      </c>
      <c r="B153">
        <v>56</v>
      </c>
      <c r="C153" t="s">
        <v>13</v>
      </c>
      <c r="D153" t="s">
        <v>26</v>
      </c>
      <c r="E153" s="2">
        <v>46170</v>
      </c>
      <c r="F153" t="s">
        <v>16</v>
      </c>
      <c r="G153" t="s">
        <v>17</v>
      </c>
      <c r="H153">
        <v>6</v>
      </c>
      <c r="I153" t="s">
        <v>20</v>
      </c>
      <c r="J153" s="1">
        <v>45</v>
      </c>
      <c r="K153" s="3">
        <v>244845</v>
      </c>
      <c r="L153">
        <v>4</v>
      </c>
      <c r="M153" t="str" cm="1">
        <f t="array" ref="M153">_xlfn.IFS(Table1[[#This Row],[Age]]="", "Missing", Table1[[#This Row],[Age]]&lt;20, "Below 20", Table1[[#This Row],[Age]]&lt;30, "20-29", Table1[[#This Row],[Age]]&lt;40, "30-39", Table1[[#This Row],[Age]]&lt;50, "40-49", Table1[[#This Row],[Age]]&lt;60, "50-59", Table1[[#This Row],[Age]]&gt;=60, "60+")</f>
        <v>50-59</v>
      </c>
      <c r="N153" t="str" cm="1">
        <f t="array" ref="N153">_xlfn.IFS(Table1[[#This Row],[Days_to_Activate]]&lt;=3, "Fast", Table1[[#This Row],[Days_to_Activate]]&lt;=7, "Moderate", Table1[[#This Row],[Days_to_Activate]]&lt;=14, "Slow", Table1[[#This Row],[Days_to_Activate]]&gt;14, "Outlier")</f>
        <v>Moderate</v>
      </c>
    </row>
    <row r="154" spans="1:14" x14ac:dyDescent="0.25">
      <c r="A154" t="s">
        <v>232</v>
      </c>
      <c r="B154">
        <v>29</v>
      </c>
      <c r="C154" t="s">
        <v>13</v>
      </c>
      <c r="D154" t="s">
        <v>49</v>
      </c>
      <c r="E154" s="2">
        <v>46115</v>
      </c>
      <c r="F154" t="s">
        <v>16</v>
      </c>
      <c r="G154" t="s">
        <v>17</v>
      </c>
      <c r="H154">
        <v>8</v>
      </c>
      <c r="I154" t="s">
        <v>18</v>
      </c>
      <c r="J154" s="1">
        <v>64</v>
      </c>
      <c r="K154" s="3">
        <v>677056</v>
      </c>
      <c r="L154">
        <v>1</v>
      </c>
      <c r="M154" t="str" cm="1">
        <f t="array" ref="M154">_xlfn.IFS(Table1[[#This Row],[Age]]="", "Missing", Table1[[#This Row],[Age]]&lt;20, "Below 20", Table1[[#This Row],[Age]]&lt;30, "20-29", Table1[[#This Row],[Age]]&lt;40, "30-39", Table1[[#This Row],[Age]]&lt;50, "40-49", Table1[[#This Row],[Age]]&lt;60, "50-59", Table1[[#This Row],[Age]]&gt;=60, "60+")</f>
        <v>20-29</v>
      </c>
      <c r="N154" t="str" cm="1">
        <f t="array" ref="N154">_xlfn.IFS(Table1[[#This Row],[Days_to_Activate]]&lt;=3, "Fast", Table1[[#This Row],[Days_to_Activate]]&lt;=7, "Moderate", Table1[[#This Row],[Days_to_Activate]]&lt;=14, "Slow", Table1[[#This Row],[Days_to_Activate]]&gt;14, "Outlier")</f>
        <v>Slow</v>
      </c>
    </row>
    <row r="155" spans="1:14" x14ac:dyDescent="0.25">
      <c r="A155" t="s">
        <v>233</v>
      </c>
      <c r="B155">
        <v>42</v>
      </c>
      <c r="C155" t="s">
        <v>22</v>
      </c>
      <c r="D155" t="s">
        <v>14</v>
      </c>
      <c r="E155" s="2">
        <v>46122</v>
      </c>
      <c r="F155" t="s">
        <v>36</v>
      </c>
      <c r="G155" t="s">
        <v>37</v>
      </c>
      <c r="I155" t="s">
        <v>20</v>
      </c>
      <c r="J155" s="1">
        <v>0</v>
      </c>
      <c r="K155" s="3">
        <v>0</v>
      </c>
      <c r="L155">
        <v>2</v>
      </c>
      <c r="M155" t="str" cm="1">
        <f t="array" ref="M155">_xlfn.IFS(Table1[[#This Row],[Age]]="", "Missing", Table1[[#This Row],[Age]]&lt;20, "Below 20", Table1[[#This Row],[Age]]&lt;30, "20-29", Table1[[#This Row],[Age]]&lt;40, "30-39", Table1[[#This Row],[Age]]&lt;50, "40-49", Table1[[#This Row],[Age]]&lt;60, "50-59", Table1[[#This Row],[Age]]&gt;=60, "60+")</f>
        <v>40-49</v>
      </c>
      <c r="N155" t="str" cm="1">
        <f t="array" ref="N155">_xlfn.IFS(Table1[[#This Row],[Days_to_Activate]]&lt;=3, "Fast", Table1[[#This Row],[Days_to_Activate]]&lt;=7, "Moderate", Table1[[#This Row],[Days_to_Activate]]&lt;=14, "Slow", Table1[[#This Row],[Days_to_Activate]]&gt;14, "Outlier")</f>
        <v>Fast</v>
      </c>
    </row>
    <row r="156" spans="1:14" x14ac:dyDescent="0.25">
      <c r="A156" t="s">
        <v>234</v>
      </c>
      <c r="B156">
        <v>60</v>
      </c>
      <c r="C156" t="s">
        <v>13</v>
      </c>
      <c r="D156" t="s">
        <v>23</v>
      </c>
      <c r="E156" s="2">
        <v>46108</v>
      </c>
      <c r="F156" t="s">
        <v>16</v>
      </c>
      <c r="G156" t="s">
        <v>17</v>
      </c>
      <c r="H156">
        <v>5</v>
      </c>
      <c r="I156" t="s">
        <v>18</v>
      </c>
      <c r="J156" s="1">
        <v>22</v>
      </c>
      <c r="K156" s="3">
        <v>200464</v>
      </c>
      <c r="L156">
        <v>4</v>
      </c>
      <c r="M156" t="str" cm="1">
        <f t="array" ref="M156">_xlfn.IFS(Table1[[#This Row],[Age]]="", "Missing", Table1[[#This Row],[Age]]&lt;20, "Below 20", Table1[[#This Row],[Age]]&lt;30, "20-29", Table1[[#This Row],[Age]]&lt;40, "30-39", Table1[[#This Row],[Age]]&lt;50, "40-49", Table1[[#This Row],[Age]]&lt;60, "50-59", Table1[[#This Row],[Age]]&gt;=60, "60+")</f>
        <v>60+</v>
      </c>
      <c r="N156" t="str" cm="1">
        <f t="array" ref="N156">_xlfn.IFS(Table1[[#This Row],[Days_to_Activate]]&lt;=3, "Fast", Table1[[#This Row],[Days_to_Activate]]&lt;=7, "Moderate", Table1[[#This Row],[Days_to_Activate]]&lt;=14, "Slow", Table1[[#This Row],[Days_to_Activate]]&gt;14, "Outlier")</f>
        <v>Moderate</v>
      </c>
    </row>
    <row r="157" spans="1:14" x14ac:dyDescent="0.25">
      <c r="A157" t="s">
        <v>235</v>
      </c>
      <c r="B157">
        <v>58</v>
      </c>
      <c r="C157" t="s">
        <v>13</v>
      </c>
      <c r="D157" t="s">
        <v>23</v>
      </c>
      <c r="E157" s="2">
        <v>46039</v>
      </c>
      <c r="F157" t="s">
        <v>16</v>
      </c>
      <c r="G157" t="s">
        <v>37</v>
      </c>
      <c r="I157" t="s">
        <v>20</v>
      </c>
      <c r="J157" s="1">
        <v>1</v>
      </c>
      <c r="K157" s="3">
        <v>2217</v>
      </c>
      <c r="L157">
        <v>2</v>
      </c>
      <c r="M157" t="str" cm="1">
        <f t="array" ref="M157">_xlfn.IFS(Table1[[#This Row],[Age]]="", "Missing", Table1[[#This Row],[Age]]&lt;20, "Below 20", Table1[[#This Row],[Age]]&lt;30, "20-29", Table1[[#This Row],[Age]]&lt;40, "30-39", Table1[[#This Row],[Age]]&lt;50, "40-49", Table1[[#This Row],[Age]]&lt;60, "50-59", Table1[[#This Row],[Age]]&gt;=60, "60+")</f>
        <v>50-59</v>
      </c>
      <c r="N157" t="str" cm="1">
        <f t="array" ref="N157">_xlfn.IFS(Table1[[#This Row],[Days_to_Activate]]&lt;=3, "Fast", Table1[[#This Row],[Days_to_Activate]]&lt;=7, "Moderate", Table1[[#This Row],[Days_to_Activate]]&lt;=14, "Slow", Table1[[#This Row],[Days_to_Activate]]&gt;14, "Outlier")</f>
        <v>Fast</v>
      </c>
    </row>
    <row r="158" spans="1:14" x14ac:dyDescent="0.25">
      <c r="A158" t="s">
        <v>237</v>
      </c>
      <c r="B158">
        <v>20</v>
      </c>
      <c r="C158" t="s">
        <v>22</v>
      </c>
      <c r="D158" t="s">
        <v>91</v>
      </c>
      <c r="E158" s="2">
        <v>46154</v>
      </c>
      <c r="F158" t="s">
        <v>16</v>
      </c>
      <c r="G158" t="s">
        <v>17</v>
      </c>
      <c r="H158">
        <v>7</v>
      </c>
      <c r="I158" t="s">
        <v>20</v>
      </c>
      <c r="J158" s="1">
        <v>24</v>
      </c>
      <c r="K158" s="3">
        <v>148488</v>
      </c>
      <c r="L158">
        <v>3</v>
      </c>
      <c r="M158" t="str" cm="1">
        <f t="array" ref="M158">_xlfn.IFS(Table1[[#This Row],[Age]]="", "Missing", Table1[[#This Row],[Age]]&lt;20, "Below 20", Table1[[#This Row],[Age]]&lt;30, "20-29", Table1[[#This Row],[Age]]&lt;40, "30-39", Table1[[#This Row],[Age]]&lt;50, "40-49", Table1[[#This Row],[Age]]&lt;60, "50-59", Table1[[#This Row],[Age]]&gt;=60, "60+")</f>
        <v>20-29</v>
      </c>
      <c r="N158" t="str" cm="1">
        <f t="array" ref="N158">_xlfn.IFS(Table1[[#This Row],[Days_to_Activate]]&lt;=3, "Fast", Table1[[#This Row],[Days_to_Activate]]&lt;=7, "Moderate", Table1[[#This Row],[Days_to_Activate]]&lt;=14, "Slow", Table1[[#This Row],[Days_to_Activate]]&gt;14, "Outlier")</f>
        <v>Moderate</v>
      </c>
    </row>
    <row r="159" spans="1:14" x14ac:dyDescent="0.25">
      <c r="A159" t="s">
        <v>238</v>
      </c>
      <c r="B159">
        <v>21</v>
      </c>
      <c r="C159" t="s">
        <v>22</v>
      </c>
      <c r="D159" t="s">
        <v>14</v>
      </c>
      <c r="E159" s="2">
        <v>46117</v>
      </c>
      <c r="F159" t="s">
        <v>16</v>
      </c>
      <c r="G159" t="s">
        <v>17</v>
      </c>
      <c r="H159">
        <v>7</v>
      </c>
      <c r="I159" t="s">
        <v>18</v>
      </c>
      <c r="J159" s="1">
        <v>49</v>
      </c>
      <c r="K159" s="3">
        <v>345646</v>
      </c>
      <c r="L159">
        <v>2</v>
      </c>
      <c r="M159" t="str" cm="1">
        <f t="array" ref="M159">_xlfn.IFS(Table1[[#This Row],[Age]]="", "Missing", Table1[[#This Row],[Age]]&lt;20, "Below 20", Table1[[#This Row],[Age]]&lt;30, "20-29", Table1[[#This Row],[Age]]&lt;40, "30-39", Table1[[#This Row],[Age]]&lt;50, "40-49", Table1[[#This Row],[Age]]&lt;60, "50-59", Table1[[#This Row],[Age]]&gt;=60, "60+")</f>
        <v>20-29</v>
      </c>
      <c r="N159" t="str" cm="1">
        <f t="array" ref="N159">_xlfn.IFS(Table1[[#This Row],[Days_to_Activate]]&lt;=3, "Fast", Table1[[#This Row],[Days_to_Activate]]&lt;=7, "Moderate", Table1[[#This Row],[Days_to_Activate]]&lt;=14, "Slow", Table1[[#This Row],[Days_to_Activate]]&gt;14, "Outlier")</f>
        <v>Moderate</v>
      </c>
    </row>
    <row r="160" spans="1:14" x14ac:dyDescent="0.25">
      <c r="A160" t="s">
        <v>239</v>
      </c>
      <c r="B160">
        <v>49</v>
      </c>
      <c r="C160" t="s">
        <v>22</v>
      </c>
      <c r="D160" t="s">
        <v>14</v>
      </c>
      <c r="E160" s="2">
        <v>46155</v>
      </c>
      <c r="F160" t="s">
        <v>16</v>
      </c>
      <c r="G160" t="s">
        <v>17</v>
      </c>
      <c r="H160">
        <v>6</v>
      </c>
      <c r="I160" t="s">
        <v>20</v>
      </c>
      <c r="J160" s="1">
        <v>77</v>
      </c>
      <c r="K160" s="3">
        <v>343112</v>
      </c>
      <c r="L160">
        <v>3</v>
      </c>
      <c r="M160" t="str" cm="1">
        <f t="array" ref="M160">_xlfn.IFS(Table1[[#This Row],[Age]]="", "Missing", Table1[[#This Row],[Age]]&lt;20, "Below 20", Table1[[#This Row],[Age]]&lt;30, "20-29", Table1[[#This Row],[Age]]&lt;40, "30-39", Table1[[#This Row],[Age]]&lt;50, "40-49", Table1[[#This Row],[Age]]&lt;60, "50-59", Table1[[#This Row],[Age]]&gt;=60, "60+")</f>
        <v>40-49</v>
      </c>
      <c r="N160" t="str" cm="1">
        <f t="array" ref="N160">_xlfn.IFS(Table1[[#This Row],[Days_to_Activate]]&lt;=3, "Fast", Table1[[#This Row],[Days_to_Activate]]&lt;=7, "Moderate", Table1[[#This Row],[Days_to_Activate]]&lt;=14, "Slow", Table1[[#This Row],[Days_to_Activate]]&gt;14, "Outlier")</f>
        <v>Moderate</v>
      </c>
    </row>
    <row r="161" spans="1:14" x14ac:dyDescent="0.25">
      <c r="A161" t="s">
        <v>240</v>
      </c>
      <c r="B161">
        <v>38</v>
      </c>
      <c r="C161" t="s">
        <v>13</v>
      </c>
      <c r="D161" t="s">
        <v>14</v>
      </c>
      <c r="E161" s="2">
        <v>46192</v>
      </c>
      <c r="F161" t="s">
        <v>16</v>
      </c>
      <c r="G161" t="s">
        <v>17</v>
      </c>
      <c r="H161">
        <v>11</v>
      </c>
      <c r="I161" t="s">
        <v>20</v>
      </c>
      <c r="J161" s="1">
        <v>56</v>
      </c>
      <c r="K161" s="3">
        <v>406504</v>
      </c>
      <c r="L161">
        <v>4</v>
      </c>
      <c r="M161" t="str" cm="1">
        <f t="array" ref="M161">_xlfn.IFS(Table1[[#This Row],[Age]]="", "Missing", Table1[[#This Row],[Age]]&lt;20, "Below 20", Table1[[#This Row],[Age]]&lt;30, "20-29", Table1[[#This Row],[Age]]&lt;40, "30-39", Table1[[#This Row],[Age]]&lt;50, "40-49", Table1[[#This Row],[Age]]&lt;60, "50-59", Table1[[#This Row],[Age]]&gt;=60, "60+")</f>
        <v>30-39</v>
      </c>
      <c r="N161" t="str" cm="1">
        <f t="array" ref="N161">_xlfn.IFS(Table1[[#This Row],[Days_to_Activate]]&lt;=3, "Fast", Table1[[#This Row],[Days_to_Activate]]&lt;=7, "Moderate", Table1[[#This Row],[Days_to_Activate]]&lt;=14, "Slow", Table1[[#This Row],[Days_to_Activate]]&gt;14, "Outlier")</f>
        <v>Slow</v>
      </c>
    </row>
    <row r="162" spans="1:14" x14ac:dyDescent="0.25">
      <c r="A162" t="s">
        <v>241</v>
      </c>
      <c r="B162">
        <v>20</v>
      </c>
      <c r="C162" t="s">
        <v>22</v>
      </c>
      <c r="D162" t="s">
        <v>26</v>
      </c>
      <c r="E162" s="2">
        <v>46134</v>
      </c>
      <c r="F162" t="s">
        <v>16</v>
      </c>
      <c r="G162" t="s">
        <v>37</v>
      </c>
      <c r="I162" t="s">
        <v>43</v>
      </c>
      <c r="J162" s="1">
        <v>0</v>
      </c>
      <c r="K162" s="3">
        <v>0</v>
      </c>
      <c r="L162">
        <v>4</v>
      </c>
      <c r="M162" t="str" cm="1">
        <f t="array" ref="M162">_xlfn.IFS(Table1[[#This Row],[Age]]="", "Missing", Table1[[#This Row],[Age]]&lt;20, "Below 20", Table1[[#This Row],[Age]]&lt;30, "20-29", Table1[[#This Row],[Age]]&lt;40, "30-39", Table1[[#This Row],[Age]]&lt;50, "40-49", Table1[[#This Row],[Age]]&lt;60, "50-59", Table1[[#This Row],[Age]]&gt;=60, "60+")</f>
        <v>20-29</v>
      </c>
      <c r="N162" t="str" cm="1">
        <f t="array" ref="N162">_xlfn.IFS(Table1[[#This Row],[Days_to_Activate]]&lt;=3, "Fast", Table1[[#This Row],[Days_to_Activate]]&lt;=7, "Moderate", Table1[[#This Row],[Days_to_Activate]]&lt;=14, "Slow", Table1[[#This Row],[Days_to_Activate]]&gt;14, "Outlier")</f>
        <v>Fast</v>
      </c>
    </row>
    <row r="163" spans="1:14" x14ac:dyDescent="0.25">
      <c r="A163" t="s">
        <v>242</v>
      </c>
      <c r="B163">
        <v>41</v>
      </c>
      <c r="C163" t="s">
        <v>13</v>
      </c>
      <c r="D163" t="s">
        <v>91</v>
      </c>
      <c r="E163" s="2">
        <v>46059</v>
      </c>
      <c r="F163" t="s">
        <v>16</v>
      </c>
      <c r="G163" t="s">
        <v>17</v>
      </c>
      <c r="H163">
        <v>7</v>
      </c>
      <c r="I163" t="s">
        <v>20</v>
      </c>
      <c r="J163" s="1">
        <v>8</v>
      </c>
      <c r="K163" s="3">
        <v>42928</v>
      </c>
      <c r="L163">
        <v>3</v>
      </c>
      <c r="M163" t="str" cm="1">
        <f t="array" ref="M163">_xlfn.IFS(Table1[[#This Row],[Age]]="", "Missing", Table1[[#This Row],[Age]]&lt;20, "Below 20", Table1[[#This Row],[Age]]&lt;30, "20-29", Table1[[#This Row],[Age]]&lt;40, "30-39", Table1[[#This Row],[Age]]&lt;50, "40-49", Table1[[#This Row],[Age]]&lt;60, "50-59", Table1[[#This Row],[Age]]&gt;=60, "60+")</f>
        <v>40-49</v>
      </c>
      <c r="N163" t="str" cm="1">
        <f t="array" ref="N163">_xlfn.IFS(Table1[[#This Row],[Days_to_Activate]]&lt;=3, "Fast", Table1[[#This Row],[Days_to_Activate]]&lt;=7, "Moderate", Table1[[#This Row],[Days_to_Activate]]&lt;=14, "Slow", Table1[[#This Row],[Days_to_Activate]]&gt;14, "Outlier")</f>
        <v>Moderate</v>
      </c>
    </row>
    <row r="164" spans="1:14" x14ac:dyDescent="0.25">
      <c r="A164" t="s">
        <v>243</v>
      </c>
      <c r="B164">
        <v>41</v>
      </c>
      <c r="C164" t="s">
        <v>22</v>
      </c>
      <c r="D164" t="s">
        <v>91</v>
      </c>
      <c r="E164" s="2">
        <v>46031</v>
      </c>
      <c r="F164" t="s">
        <v>16</v>
      </c>
      <c r="G164" t="s">
        <v>17</v>
      </c>
      <c r="H164">
        <v>5</v>
      </c>
      <c r="I164" t="s">
        <v>20</v>
      </c>
      <c r="J164" s="1">
        <v>9</v>
      </c>
      <c r="K164" s="3">
        <v>98127</v>
      </c>
      <c r="L164">
        <v>2</v>
      </c>
      <c r="M164" t="str" cm="1">
        <f t="array" ref="M164">_xlfn.IFS(Table1[[#This Row],[Age]]="", "Missing", Table1[[#This Row],[Age]]&lt;20, "Below 20", Table1[[#This Row],[Age]]&lt;30, "20-29", Table1[[#This Row],[Age]]&lt;40, "30-39", Table1[[#This Row],[Age]]&lt;50, "40-49", Table1[[#This Row],[Age]]&lt;60, "50-59", Table1[[#This Row],[Age]]&gt;=60, "60+")</f>
        <v>40-49</v>
      </c>
      <c r="N164" t="str" cm="1">
        <f t="array" ref="N164">_xlfn.IFS(Table1[[#This Row],[Days_to_Activate]]&lt;=3, "Fast", Table1[[#This Row],[Days_to_Activate]]&lt;=7, "Moderate", Table1[[#This Row],[Days_to_Activate]]&lt;=14, "Slow", Table1[[#This Row],[Days_to_Activate]]&gt;14, "Outlier")</f>
        <v>Moderate</v>
      </c>
    </row>
    <row r="165" spans="1:14" x14ac:dyDescent="0.25">
      <c r="A165" t="s">
        <v>244</v>
      </c>
      <c r="B165">
        <v>51</v>
      </c>
      <c r="C165" t="s">
        <v>22</v>
      </c>
      <c r="D165" t="s">
        <v>14</v>
      </c>
      <c r="E165" s="2">
        <v>46189</v>
      </c>
      <c r="F165" t="s">
        <v>16</v>
      </c>
      <c r="G165" t="s">
        <v>37</v>
      </c>
      <c r="I165" t="s">
        <v>20</v>
      </c>
      <c r="J165" s="1">
        <v>1</v>
      </c>
      <c r="K165" s="3">
        <v>9676</v>
      </c>
      <c r="L165">
        <v>4</v>
      </c>
      <c r="M165" t="str" cm="1">
        <f t="array" ref="M165">_xlfn.IFS(Table1[[#This Row],[Age]]="", "Missing", Table1[[#This Row],[Age]]&lt;20, "Below 20", Table1[[#This Row],[Age]]&lt;30, "20-29", Table1[[#This Row],[Age]]&lt;40, "30-39", Table1[[#This Row],[Age]]&lt;50, "40-49", Table1[[#This Row],[Age]]&lt;60, "50-59", Table1[[#This Row],[Age]]&gt;=60, "60+")</f>
        <v>50-59</v>
      </c>
      <c r="N165" t="str" cm="1">
        <f t="array" ref="N165">_xlfn.IFS(Table1[[#This Row],[Days_to_Activate]]&lt;=3, "Fast", Table1[[#This Row],[Days_to_Activate]]&lt;=7, "Moderate", Table1[[#This Row],[Days_to_Activate]]&lt;=14, "Slow", Table1[[#This Row],[Days_to_Activate]]&gt;14, "Outlier")</f>
        <v>Fast</v>
      </c>
    </row>
    <row r="166" spans="1:14" x14ac:dyDescent="0.25">
      <c r="A166" t="s">
        <v>246</v>
      </c>
      <c r="B166">
        <v>53</v>
      </c>
      <c r="C166" t="s">
        <v>13</v>
      </c>
      <c r="D166" t="s">
        <v>14</v>
      </c>
      <c r="E166" s="2">
        <v>46089</v>
      </c>
      <c r="F166" t="s">
        <v>16</v>
      </c>
      <c r="G166" t="s">
        <v>17</v>
      </c>
      <c r="H166">
        <v>9</v>
      </c>
      <c r="I166" t="s">
        <v>20</v>
      </c>
      <c r="J166" s="1">
        <v>62</v>
      </c>
      <c r="K166" s="3">
        <v>296298</v>
      </c>
      <c r="L166">
        <v>1</v>
      </c>
      <c r="M166" t="str" cm="1">
        <f t="array" ref="M166">_xlfn.IFS(Table1[[#This Row],[Age]]="", "Missing", Table1[[#This Row],[Age]]&lt;20, "Below 20", Table1[[#This Row],[Age]]&lt;30, "20-29", Table1[[#This Row],[Age]]&lt;40, "30-39", Table1[[#This Row],[Age]]&lt;50, "40-49", Table1[[#This Row],[Age]]&lt;60, "50-59", Table1[[#This Row],[Age]]&gt;=60, "60+")</f>
        <v>50-59</v>
      </c>
      <c r="N166" t="str" cm="1">
        <f t="array" ref="N166">_xlfn.IFS(Table1[[#This Row],[Days_to_Activate]]&lt;=3, "Fast", Table1[[#This Row],[Days_to_Activate]]&lt;=7, "Moderate", Table1[[#This Row],[Days_to_Activate]]&lt;=14, "Slow", Table1[[#This Row],[Days_to_Activate]]&gt;14, "Outlier")</f>
        <v>Slow</v>
      </c>
    </row>
    <row r="167" spans="1:14" x14ac:dyDescent="0.25">
      <c r="A167" t="s">
        <v>247</v>
      </c>
      <c r="B167">
        <v>26</v>
      </c>
      <c r="C167" t="s">
        <v>13</v>
      </c>
      <c r="D167" t="s">
        <v>49</v>
      </c>
      <c r="E167" s="2">
        <v>46136</v>
      </c>
      <c r="F167" t="s">
        <v>36</v>
      </c>
      <c r="G167" t="s">
        <v>37</v>
      </c>
      <c r="I167" t="s">
        <v>43</v>
      </c>
      <c r="J167" s="1">
        <v>2</v>
      </c>
      <c r="K167" s="3">
        <v>14384</v>
      </c>
      <c r="L167">
        <v>1</v>
      </c>
      <c r="M167" t="str" cm="1">
        <f t="array" ref="M167">_xlfn.IFS(Table1[[#This Row],[Age]]="", "Missing", Table1[[#This Row],[Age]]&lt;20, "Below 20", Table1[[#This Row],[Age]]&lt;30, "20-29", Table1[[#This Row],[Age]]&lt;40, "30-39", Table1[[#This Row],[Age]]&lt;50, "40-49", Table1[[#This Row],[Age]]&lt;60, "50-59", Table1[[#This Row],[Age]]&gt;=60, "60+")</f>
        <v>20-29</v>
      </c>
      <c r="N167" t="str" cm="1">
        <f t="array" ref="N167">_xlfn.IFS(Table1[[#This Row],[Days_to_Activate]]&lt;=3, "Fast", Table1[[#This Row],[Days_to_Activate]]&lt;=7, "Moderate", Table1[[#This Row],[Days_to_Activate]]&lt;=14, "Slow", Table1[[#This Row],[Days_to_Activate]]&gt;14, "Outlier")</f>
        <v>Fast</v>
      </c>
    </row>
    <row r="168" spans="1:14" x14ac:dyDescent="0.25">
      <c r="A168" t="s">
        <v>249</v>
      </c>
      <c r="B168">
        <v>53</v>
      </c>
      <c r="C168" t="s">
        <v>22</v>
      </c>
      <c r="D168" t="s">
        <v>28</v>
      </c>
      <c r="E168" s="2">
        <v>46063</v>
      </c>
      <c r="F168" t="s">
        <v>16</v>
      </c>
      <c r="G168" t="s">
        <v>37</v>
      </c>
      <c r="I168" t="s">
        <v>18</v>
      </c>
      <c r="J168" s="1">
        <v>2</v>
      </c>
      <c r="K168" s="3">
        <v>19670</v>
      </c>
      <c r="L168">
        <v>2</v>
      </c>
      <c r="M168" t="str" cm="1">
        <f t="array" ref="M168">_xlfn.IFS(Table1[[#This Row],[Age]]="", "Missing", Table1[[#This Row],[Age]]&lt;20, "Below 20", Table1[[#This Row],[Age]]&lt;30, "20-29", Table1[[#This Row],[Age]]&lt;40, "30-39", Table1[[#This Row],[Age]]&lt;50, "40-49", Table1[[#This Row],[Age]]&lt;60, "50-59", Table1[[#This Row],[Age]]&gt;=60, "60+")</f>
        <v>50-59</v>
      </c>
      <c r="N168" t="str" cm="1">
        <f t="array" ref="N168">_xlfn.IFS(Table1[[#This Row],[Days_to_Activate]]&lt;=3, "Fast", Table1[[#This Row],[Days_to_Activate]]&lt;=7, "Moderate", Table1[[#This Row],[Days_to_Activate]]&lt;=14, "Slow", Table1[[#This Row],[Days_to_Activate]]&gt;14, "Outlier")</f>
        <v>Fast</v>
      </c>
    </row>
    <row r="169" spans="1:14" x14ac:dyDescent="0.25">
      <c r="A169" t="s">
        <v>251</v>
      </c>
      <c r="B169">
        <v>25</v>
      </c>
      <c r="C169" t="s">
        <v>13</v>
      </c>
      <c r="D169" t="s">
        <v>23</v>
      </c>
      <c r="E169" s="2">
        <v>46083</v>
      </c>
      <c r="F169" t="s">
        <v>16</v>
      </c>
      <c r="G169" t="s">
        <v>17</v>
      </c>
      <c r="H169">
        <v>8</v>
      </c>
      <c r="I169" t="s">
        <v>20</v>
      </c>
      <c r="J169" s="1">
        <v>59</v>
      </c>
      <c r="K169" s="3">
        <v>621742</v>
      </c>
      <c r="L169">
        <v>2</v>
      </c>
      <c r="M169" t="str" cm="1">
        <f t="array" ref="M169">_xlfn.IFS(Table1[[#This Row],[Age]]="", "Missing", Table1[[#This Row],[Age]]&lt;20, "Below 20", Table1[[#This Row],[Age]]&lt;30, "20-29", Table1[[#This Row],[Age]]&lt;40, "30-39", Table1[[#This Row],[Age]]&lt;50, "40-49", Table1[[#This Row],[Age]]&lt;60, "50-59", Table1[[#This Row],[Age]]&gt;=60, "60+")</f>
        <v>20-29</v>
      </c>
      <c r="N169" t="str" cm="1">
        <f t="array" ref="N169">_xlfn.IFS(Table1[[#This Row],[Days_to_Activate]]&lt;=3, "Fast", Table1[[#This Row],[Days_to_Activate]]&lt;=7, "Moderate", Table1[[#This Row],[Days_to_Activate]]&lt;=14, "Slow", Table1[[#This Row],[Days_to_Activate]]&gt;14, "Outlier")</f>
        <v>Slow</v>
      </c>
    </row>
    <row r="170" spans="1:14" x14ac:dyDescent="0.25">
      <c r="A170" t="s">
        <v>252</v>
      </c>
      <c r="B170">
        <v>57</v>
      </c>
      <c r="C170" t="s">
        <v>13</v>
      </c>
      <c r="D170" t="s">
        <v>14</v>
      </c>
      <c r="E170" s="2">
        <v>46124</v>
      </c>
      <c r="F170" t="s">
        <v>36</v>
      </c>
      <c r="G170" t="s">
        <v>37</v>
      </c>
      <c r="I170" t="s">
        <v>20</v>
      </c>
      <c r="J170" s="1">
        <v>3</v>
      </c>
      <c r="K170" s="3">
        <v>32757</v>
      </c>
      <c r="L170">
        <v>1</v>
      </c>
      <c r="M170" t="str" cm="1">
        <f t="array" ref="M170">_xlfn.IFS(Table1[[#This Row],[Age]]="", "Missing", Table1[[#This Row],[Age]]&lt;20, "Below 20", Table1[[#This Row],[Age]]&lt;30, "20-29", Table1[[#This Row],[Age]]&lt;40, "30-39", Table1[[#This Row],[Age]]&lt;50, "40-49", Table1[[#This Row],[Age]]&lt;60, "50-59", Table1[[#This Row],[Age]]&gt;=60, "60+")</f>
        <v>50-59</v>
      </c>
      <c r="N170" t="str" cm="1">
        <f t="array" ref="N170">_xlfn.IFS(Table1[[#This Row],[Days_to_Activate]]&lt;=3, "Fast", Table1[[#This Row],[Days_to_Activate]]&lt;=7, "Moderate", Table1[[#This Row],[Days_to_Activate]]&lt;=14, "Slow", Table1[[#This Row],[Days_to_Activate]]&gt;14, "Outlier")</f>
        <v>Fast</v>
      </c>
    </row>
    <row r="171" spans="1:14" x14ac:dyDescent="0.25">
      <c r="A171" t="s">
        <v>254</v>
      </c>
      <c r="B171">
        <v>26</v>
      </c>
      <c r="C171" t="s">
        <v>22</v>
      </c>
      <c r="D171" t="s">
        <v>26</v>
      </c>
      <c r="E171" s="2">
        <v>46138</v>
      </c>
      <c r="F171" t="s">
        <v>16</v>
      </c>
      <c r="G171" t="s">
        <v>17</v>
      </c>
      <c r="H171">
        <v>2</v>
      </c>
      <c r="I171" t="s">
        <v>18</v>
      </c>
      <c r="J171" s="1">
        <v>70</v>
      </c>
      <c r="K171" s="3">
        <v>838740</v>
      </c>
      <c r="L171">
        <v>5</v>
      </c>
      <c r="M171" t="str" cm="1">
        <f t="array" ref="M171">_xlfn.IFS(Table1[[#This Row],[Age]]="", "Missing", Table1[[#This Row],[Age]]&lt;20, "Below 20", Table1[[#This Row],[Age]]&lt;30, "20-29", Table1[[#This Row],[Age]]&lt;40, "30-39", Table1[[#This Row],[Age]]&lt;50, "40-49", Table1[[#This Row],[Age]]&lt;60, "50-59", Table1[[#This Row],[Age]]&gt;=60, "60+")</f>
        <v>20-29</v>
      </c>
      <c r="N171" t="str" cm="1">
        <f t="array" ref="N171">_xlfn.IFS(Table1[[#This Row],[Days_to_Activate]]&lt;=3, "Fast", Table1[[#This Row],[Days_to_Activate]]&lt;=7, "Moderate", Table1[[#This Row],[Days_to_Activate]]&lt;=14, "Slow", Table1[[#This Row],[Days_to_Activate]]&gt;14, "Outlier")</f>
        <v>Fast</v>
      </c>
    </row>
    <row r="172" spans="1:14" x14ac:dyDescent="0.25">
      <c r="A172" t="s">
        <v>256</v>
      </c>
      <c r="B172">
        <v>29</v>
      </c>
      <c r="C172" t="s">
        <v>13</v>
      </c>
      <c r="D172" t="s">
        <v>49</v>
      </c>
      <c r="E172" s="2">
        <v>46037</v>
      </c>
      <c r="F172" t="s">
        <v>16</v>
      </c>
      <c r="G172" t="s">
        <v>17</v>
      </c>
      <c r="H172">
        <v>4</v>
      </c>
      <c r="I172" t="s">
        <v>20</v>
      </c>
      <c r="J172" s="1">
        <v>41</v>
      </c>
      <c r="K172" s="3">
        <v>212954</v>
      </c>
      <c r="L172">
        <v>3</v>
      </c>
      <c r="M172" t="str" cm="1">
        <f t="array" ref="M172">_xlfn.IFS(Table1[[#This Row],[Age]]="", "Missing", Table1[[#This Row],[Age]]&lt;20, "Below 20", Table1[[#This Row],[Age]]&lt;30, "20-29", Table1[[#This Row],[Age]]&lt;40, "30-39", Table1[[#This Row],[Age]]&lt;50, "40-49", Table1[[#This Row],[Age]]&lt;60, "50-59", Table1[[#This Row],[Age]]&gt;=60, "60+")</f>
        <v>20-29</v>
      </c>
      <c r="N172" t="str" cm="1">
        <f t="array" ref="N172">_xlfn.IFS(Table1[[#This Row],[Days_to_Activate]]&lt;=3, "Fast", Table1[[#This Row],[Days_to_Activate]]&lt;=7, "Moderate", Table1[[#This Row],[Days_to_Activate]]&lt;=14, "Slow", Table1[[#This Row],[Days_to_Activate]]&gt;14, "Outlier")</f>
        <v>Moderate</v>
      </c>
    </row>
    <row r="173" spans="1:14" x14ac:dyDescent="0.25">
      <c r="A173" t="s">
        <v>257</v>
      </c>
      <c r="B173">
        <v>51</v>
      </c>
      <c r="C173" t="s">
        <v>22</v>
      </c>
      <c r="D173" t="s">
        <v>23</v>
      </c>
      <c r="E173" s="2">
        <v>46087</v>
      </c>
      <c r="F173" t="s">
        <v>16</v>
      </c>
      <c r="G173" t="s">
        <v>37</v>
      </c>
      <c r="I173" t="s">
        <v>20</v>
      </c>
      <c r="J173" s="1">
        <v>5</v>
      </c>
      <c r="K173" s="3">
        <v>32305</v>
      </c>
      <c r="L173">
        <v>1</v>
      </c>
      <c r="M173" t="str" cm="1">
        <f t="array" ref="M173">_xlfn.IFS(Table1[[#This Row],[Age]]="", "Missing", Table1[[#This Row],[Age]]&lt;20, "Below 20", Table1[[#This Row],[Age]]&lt;30, "20-29", Table1[[#This Row],[Age]]&lt;40, "30-39", Table1[[#This Row],[Age]]&lt;50, "40-49", Table1[[#This Row],[Age]]&lt;60, "50-59", Table1[[#This Row],[Age]]&gt;=60, "60+")</f>
        <v>50-59</v>
      </c>
      <c r="N173" t="str" cm="1">
        <f t="array" ref="N173">_xlfn.IFS(Table1[[#This Row],[Days_to_Activate]]&lt;=3, "Fast", Table1[[#This Row],[Days_to_Activate]]&lt;=7, "Moderate", Table1[[#This Row],[Days_to_Activate]]&lt;=14, "Slow", Table1[[#This Row],[Days_to_Activate]]&gt;14, "Outlier")</f>
        <v>Fast</v>
      </c>
    </row>
    <row r="174" spans="1:14" x14ac:dyDescent="0.25">
      <c r="A174" t="s">
        <v>259</v>
      </c>
      <c r="B174">
        <v>50</v>
      </c>
      <c r="C174" t="s">
        <v>13</v>
      </c>
      <c r="D174" t="s">
        <v>26</v>
      </c>
      <c r="E174" s="2">
        <v>46171</v>
      </c>
      <c r="F174" t="s">
        <v>16</v>
      </c>
      <c r="G174" t="s">
        <v>17</v>
      </c>
      <c r="H174">
        <v>11</v>
      </c>
      <c r="I174" t="s">
        <v>43</v>
      </c>
      <c r="J174" s="1">
        <v>43</v>
      </c>
      <c r="K174" s="3">
        <v>461562</v>
      </c>
      <c r="L174">
        <v>1</v>
      </c>
      <c r="M174" t="str" cm="1">
        <f t="array" ref="M174">_xlfn.IFS(Table1[[#This Row],[Age]]="", "Missing", Table1[[#This Row],[Age]]&lt;20, "Below 20", Table1[[#This Row],[Age]]&lt;30, "20-29", Table1[[#This Row],[Age]]&lt;40, "30-39", Table1[[#This Row],[Age]]&lt;50, "40-49", Table1[[#This Row],[Age]]&lt;60, "50-59", Table1[[#This Row],[Age]]&gt;=60, "60+")</f>
        <v>50-59</v>
      </c>
      <c r="N174" t="str" cm="1">
        <f t="array" ref="N174">_xlfn.IFS(Table1[[#This Row],[Days_to_Activate]]&lt;=3, "Fast", Table1[[#This Row],[Days_to_Activate]]&lt;=7, "Moderate", Table1[[#This Row],[Days_to_Activate]]&lt;=14, "Slow", Table1[[#This Row],[Days_to_Activate]]&gt;14, "Outlier")</f>
        <v>Slow</v>
      </c>
    </row>
    <row r="175" spans="1:14" x14ac:dyDescent="0.25">
      <c r="A175" t="s">
        <v>260</v>
      </c>
      <c r="B175">
        <v>19</v>
      </c>
      <c r="C175" t="s">
        <v>13</v>
      </c>
      <c r="D175" t="s">
        <v>14</v>
      </c>
      <c r="E175" s="2">
        <v>46187</v>
      </c>
      <c r="F175" t="s">
        <v>16</v>
      </c>
      <c r="G175" t="s">
        <v>17</v>
      </c>
      <c r="H175">
        <v>3</v>
      </c>
      <c r="I175" t="s">
        <v>18</v>
      </c>
      <c r="J175" s="1">
        <v>53</v>
      </c>
      <c r="K175" s="3">
        <v>616231</v>
      </c>
      <c r="L175">
        <v>5</v>
      </c>
      <c r="M175" t="str" cm="1">
        <f t="array" ref="M175">_xlfn.IFS(Table1[[#This Row],[Age]]="", "Missing", Table1[[#This Row],[Age]]&lt;20, "Below 20", Table1[[#This Row],[Age]]&lt;30, "20-29", Table1[[#This Row],[Age]]&lt;40, "30-39", Table1[[#This Row],[Age]]&lt;50, "40-49", Table1[[#This Row],[Age]]&lt;60, "50-59", Table1[[#This Row],[Age]]&gt;=60, "60+")</f>
        <v>Below 20</v>
      </c>
      <c r="N175" t="str" cm="1">
        <f t="array" ref="N175">_xlfn.IFS(Table1[[#This Row],[Days_to_Activate]]&lt;=3, "Fast", Table1[[#This Row],[Days_to_Activate]]&lt;=7, "Moderate", Table1[[#This Row],[Days_to_Activate]]&lt;=14, "Slow", Table1[[#This Row],[Days_to_Activate]]&gt;14, "Outlier")</f>
        <v>Fast</v>
      </c>
    </row>
    <row r="176" spans="1:14" x14ac:dyDescent="0.25">
      <c r="A176" t="s">
        <v>262</v>
      </c>
      <c r="B176">
        <v>19</v>
      </c>
      <c r="C176" t="s">
        <v>22</v>
      </c>
      <c r="D176" t="s">
        <v>28</v>
      </c>
      <c r="E176" s="2">
        <v>46162</v>
      </c>
      <c r="F176" t="s">
        <v>16</v>
      </c>
      <c r="G176" t="s">
        <v>37</v>
      </c>
      <c r="I176" t="s">
        <v>20</v>
      </c>
      <c r="J176" s="1">
        <v>5</v>
      </c>
      <c r="K176" s="3">
        <v>40765</v>
      </c>
      <c r="L176">
        <v>3</v>
      </c>
      <c r="M176" t="str" cm="1">
        <f t="array" ref="M176">_xlfn.IFS(Table1[[#This Row],[Age]]="", "Missing", Table1[[#This Row],[Age]]&lt;20, "Below 20", Table1[[#This Row],[Age]]&lt;30, "20-29", Table1[[#This Row],[Age]]&lt;40, "30-39", Table1[[#This Row],[Age]]&lt;50, "40-49", Table1[[#This Row],[Age]]&lt;60, "50-59", Table1[[#This Row],[Age]]&gt;=60, "60+")</f>
        <v>Below 20</v>
      </c>
      <c r="N176" t="str" cm="1">
        <f t="array" ref="N176">_xlfn.IFS(Table1[[#This Row],[Days_to_Activate]]&lt;=3, "Fast", Table1[[#This Row],[Days_to_Activate]]&lt;=7, "Moderate", Table1[[#This Row],[Days_to_Activate]]&lt;=14, "Slow", Table1[[#This Row],[Days_to_Activate]]&gt;14, "Outlier")</f>
        <v>Fast</v>
      </c>
    </row>
    <row r="177" spans="1:14" x14ac:dyDescent="0.25">
      <c r="A177" t="s">
        <v>264</v>
      </c>
      <c r="B177">
        <v>47</v>
      </c>
      <c r="C177" t="s">
        <v>13</v>
      </c>
      <c r="D177" t="s">
        <v>30</v>
      </c>
      <c r="E177" s="2">
        <v>46063</v>
      </c>
      <c r="F177" t="s">
        <v>16</v>
      </c>
      <c r="G177" t="s">
        <v>17</v>
      </c>
      <c r="H177">
        <v>3</v>
      </c>
      <c r="I177" t="s">
        <v>20</v>
      </c>
      <c r="J177" s="1">
        <v>18</v>
      </c>
      <c r="K177" s="3">
        <v>119178</v>
      </c>
      <c r="L177">
        <v>5</v>
      </c>
      <c r="M177" t="str" cm="1">
        <f t="array" ref="M177">_xlfn.IFS(Table1[[#This Row],[Age]]="", "Missing", Table1[[#This Row],[Age]]&lt;20, "Below 20", Table1[[#This Row],[Age]]&lt;30, "20-29", Table1[[#This Row],[Age]]&lt;40, "30-39", Table1[[#This Row],[Age]]&lt;50, "40-49", Table1[[#This Row],[Age]]&lt;60, "50-59", Table1[[#This Row],[Age]]&gt;=60, "60+")</f>
        <v>40-49</v>
      </c>
      <c r="N177" t="str" cm="1">
        <f t="array" ref="N177">_xlfn.IFS(Table1[[#This Row],[Days_to_Activate]]&lt;=3, "Fast", Table1[[#This Row],[Days_to_Activate]]&lt;=7, "Moderate", Table1[[#This Row],[Days_to_Activate]]&lt;=14, "Slow", Table1[[#This Row],[Days_to_Activate]]&gt;14, "Outlier")</f>
        <v>Fast</v>
      </c>
    </row>
    <row r="178" spans="1:14" x14ac:dyDescent="0.25">
      <c r="A178" t="s">
        <v>265</v>
      </c>
      <c r="B178">
        <v>38</v>
      </c>
      <c r="C178" t="s">
        <v>22</v>
      </c>
      <c r="D178" t="s">
        <v>33</v>
      </c>
      <c r="E178" s="2">
        <v>46056</v>
      </c>
      <c r="F178" t="s">
        <v>16</v>
      </c>
      <c r="G178" t="s">
        <v>17</v>
      </c>
      <c r="H178">
        <v>1</v>
      </c>
      <c r="I178" t="s">
        <v>20</v>
      </c>
      <c r="J178" s="1">
        <v>59</v>
      </c>
      <c r="K178" s="3">
        <v>206913</v>
      </c>
      <c r="L178">
        <v>4</v>
      </c>
      <c r="M178" t="str" cm="1">
        <f t="array" ref="M178">_xlfn.IFS(Table1[[#This Row],[Age]]="", "Missing", Table1[[#This Row],[Age]]&lt;20, "Below 20", Table1[[#This Row],[Age]]&lt;30, "20-29", Table1[[#This Row],[Age]]&lt;40, "30-39", Table1[[#This Row],[Age]]&lt;50, "40-49", Table1[[#This Row],[Age]]&lt;60, "50-59", Table1[[#This Row],[Age]]&gt;=60, "60+")</f>
        <v>30-39</v>
      </c>
      <c r="N178" t="str" cm="1">
        <f t="array" ref="N178">_xlfn.IFS(Table1[[#This Row],[Days_to_Activate]]&lt;=3, "Fast", Table1[[#This Row],[Days_to_Activate]]&lt;=7, "Moderate", Table1[[#This Row],[Days_to_Activate]]&lt;=14, "Slow", Table1[[#This Row],[Days_to_Activate]]&gt;14, "Outlier")</f>
        <v>Fast</v>
      </c>
    </row>
    <row r="179" spans="1:14" x14ac:dyDescent="0.25">
      <c r="A179" t="s">
        <v>266</v>
      </c>
      <c r="B179">
        <v>46</v>
      </c>
      <c r="C179" t="s">
        <v>13</v>
      </c>
      <c r="D179" t="s">
        <v>14</v>
      </c>
      <c r="E179" s="2">
        <v>46035</v>
      </c>
      <c r="F179" t="s">
        <v>16</v>
      </c>
      <c r="G179" t="s">
        <v>17</v>
      </c>
      <c r="H179">
        <v>9</v>
      </c>
      <c r="I179" t="s">
        <v>20</v>
      </c>
      <c r="J179" s="1">
        <v>20</v>
      </c>
      <c r="K179" s="3">
        <v>137280</v>
      </c>
      <c r="L179">
        <v>3</v>
      </c>
      <c r="M179" t="str" cm="1">
        <f t="array" ref="M179">_xlfn.IFS(Table1[[#This Row],[Age]]="", "Missing", Table1[[#This Row],[Age]]&lt;20, "Below 20", Table1[[#This Row],[Age]]&lt;30, "20-29", Table1[[#This Row],[Age]]&lt;40, "30-39", Table1[[#This Row],[Age]]&lt;50, "40-49", Table1[[#This Row],[Age]]&lt;60, "50-59", Table1[[#This Row],[Age]]&gt;=60, "60+")</f>
        <v>40-49</v>
      </c>
      <c r="N179" t="str" cm="1">
        <f t="array" ref="N179">_xlfn.IFS(Table1[[#This Row],[Days_to_Activate]]&lt;=3, "Fast", Table1[[#This Row],[Days_to_Activate]]&lt;=7, "Moderate", Table1[[#This Row],[Days_to_Activate]]&lt;=14, "Slow", Table1[[#This Row],[Days_to_Activate]]&gt;14, "Outlier")</f>
        <v>Slow</v>
      </c>
    </row>
    <row r="180" spans="1:14" x14ac:dyDescent="0.25">
      <c r="A180" t="s">
        <v>267</v>
      </c>
      <c r="B180">
        <v>30</v>
      </c>
      <c r="C180" t="s">
        <v>13</v>
      </c>
      <c r="D180" t="s">
        <v>49</v>
      </c>
      <c r="E180" s="2">
        <v>46154</v>
      </c>
      <c r="F180" t="s">
        <v>16</v>
      </c>
      <c r="G180" t="s">
        <v>17</v>
      </c>
      <c r="H180">
        <v>7</v>
      </c>
      <c r="I180" t="s">
        <v>20</v>
      </c>
      <c r="J180" s="1">
        <v>50</v>
      </c>
      <c r="K180" s="3">
        <v>489050</v>
      </c>
      <c r="L180">
        <v>4</v>
      </c>
      <c r="M180" t="str" cm="1">
        <f t="array" ref="M180">_xlfn.IFS(Table1[[#This Row],[Age]]="", "Missing", Table1[[#This Row],[Age]]&lt;20, "Below 20", Table1[[#This Row],[Age]]&lt;30, "20-29", Table1[[#This Row],[Age]]&lt;40, "30-39", Table1[[#This Row],[Age]]&lt;50, "40-49", Table1[[#This Row],[Age]]&lt;60, "50-59", Table1[[#This Row],[Age]]&gt;=60, "60+")</f>
        <v>30-39</v>
      </c>
      <c r="N180" t="str" cm="1">
        <f t="array" ref="N180">_xlfn.IFS(Table1[[#This Row],[Days_to_Activate]]&lt;=3, "Fast", Table1[[#This Row],[Days_to_Activate]]&lt;=7, "Moderate", Table1[[#This Row],[Days_to_Activate]]&lt;=14, "Slow", Table1[[#This Row],[Days_to_Activate]]&gt;14, "Outlier")</f>
        <v>Moderate</v>
      </c>
    </row>
    <row r="181" spans="1:14" x14ac:dyDescent="0.25">
      <c r="A181" t="s">
        <v>268</v>
      </c>
      <c r="B181">
        <v>33</v>
      </c>
      <c r="C181" t="s">
        <v>13</v>
      </c>
      <c r="D181" t="s">
        <v>26</v>
      </c>
      <c r="E181" s="2">
        <v>46035</v>
      </c>
      <c r="F181" t="s">
        <v>16</v>
      </c>
      <c r="G181" t="s">
        <v>17</v>
      </c>
      <c r="H181">
        <v>14</v>
      </c>
      <c r="I181" t="s">
        <v>18</v>
      </c>
      <c r="J181" s="1">
        <v>60</v>
      </c>
      <c r="K181" s="3">
        <v>370860</v>
      </c>
      <c r="L181">
        <v>1</v>
      </c>
      <c r="M181" t="str" cm="1">
        <f t="array" ref="M181">_xlfn.IFS(Table1[[#This Row],[Age]]="", "Missing", Table1[[#This Row],[Age]]&lt;20, "Below 20", Table1[[#This Row],[Age]]&lt;30, "20-29", Table1[[#This Row],[Age]]&lt;40, "30-39", Table1[[#This Row],[Age]]&lt;50, "40-49", Table1[[#This Row],[Age]]&lt;60, "50-59", Table1[[#This Row],[Age]]&gt;=60, "60+")</f>
        <v>30-39</v>
      </c>
      <c r="N181" t="str" cm="1">
        <f t="array" ref="N181">_xlfn.IFS(Table1[[#This Row],[Days_to_Activate]]&lt;=3, "Fast", Table1[[#This Row],[Days_to_Activate]]&lt;=7, "Moderate", Table1[[#This Row],[Days_to_Activate]]&lt;=14, "Slow", Table1[[#This Row],[Days_to_Activate]]&gt;14, "Outlier")</f>
        <v>Slow</v>
      </c>
    </row>
    <row r="182" spans="1:14" x14ac:dyDescent="0.25">
      <c r="A182" t="s">
        <v>269</v>
      </c>
      <c r="B182">
        <v>24</v>
      </c>
      <c r="C182" t="s">
        <v>22</v>
      </c>
      <c r="D182" t="s">
        <v>14</v>
      </c>
      <c r="E182" s="2">
        <v>46090</v>
      </c>
      <c r="F182" t="s">
        <v>16</v>
      </c>
      <c r="G182" t="s">
        <v>17</v>
      </c>
      <c r="H182">
        <v>5</v>
      </c>
      <c r="I182" t="s">
        <v>20</v>
      </c>
      <c r="J182" s="1">
        <v>6</v>
      </c>
      <c r="K182" s="3">
        <v>65058</v>
      </c>
      <c r="L182">
        <v>2</v>
      </c>
      <c r="M182" t="str" cm="1">
        <f t="array" ref="M182">_xlfn.IFS(Table1[[#This Row],[Age]]="", "Missing", Table1[[#This Row],[Age]]&lt;20, "Below 20", Table1[[#This Row],[Age]]&lt;30, "20-29", Table1[[#This Row],[Age]]&lt;40, "30-39", Table1[[#This Row],[Age]]&lt;50, "40-49", Table1[[#This Row],[Age]]&lt;60, "50-59", Table1[[#This Row],[Age]]&gt;=60, "60+")</f>
        <v>20-29</v>
      </c>
      <c r="N182" t="str" cm="1">
        <f t="array" ref="N182">_xlfn.IFS(Table1[[#This Row],[Days_to_Activate]]&lt;=3, "Fast", Table1[[#This Row],[Days_to_Activate]]&lt;=7, "Moderate", Table1[[#This Row],[Days_to_Activate]]&lt;=14, "Slow", Table1[[#This Row],[Days_to_Activate]]&gt;14, "Outlier")</f>
        <v>Moderate</v>
      </c>
    </row>
    <row r="183" spans="1:14" x14ac:dyDescent="0.25">
      <c r="A183" t="s">
        <v>270</v>
      </c>
      <c r="B183">
        <v>41</v>
      </c>
      <c r="C183" t="s">
        <v>22</v>
      </c>
      <c r="D183" t="s">
        <v>14</v>
      </c>
      <c r="E183" s="2">
        <v>46152</v>
      </c>
      <c r="F183" t="s">
        <v>16</v>
      </c>
      <c r="G183" t="s">
        <v>17</v>
      </c>
      <c r="H183">
        <v>13</v>
      </c>
      <c r="I183" t="s">
        <v>43</v>
      </c>
      <c r="J183" s="1">
        <v>78</v>
      </c>
      <c r="K183" s="3">
        <v>268788</v>
      </c>
      <c r="L183">
        <v>2</v>
      </c>
      <c r="M183" t="str" cm="1">
        <f t="array" ref="M183">_xlfn.IFS(Table1[[#This Row],[Age]]="", "Missing", Table1[[#This Row],[Age]]&lt;20, "Below 20", Table1[[#This Row],[Age]]&lt;30, "20-29", Table1[[#This Row],[Age]]&lt;40, "30-39", Table1[[#This Row],[Age]]&lt;50, "40-49", Table1[[#This Row],[Age]]&lt;60, "50-59", Table1[[#This Row],[Age]]&gt;=60, "60+")</f>
        <v>40-49</v>
      </c>
      <c r="N183" t="str" cm="1">
        <f t="array" ref="N183">_xlfn.IFS(Table1[[#This Row],[Days_to_Activate]]&lt;=3, "Fast", Table1[[#This Row],[Days_to_Activate]]&lt;=7, "Moderate", Table1[[#This Row],[Days_to_Activate]]&lt;=14, "Slow", Table1[[#This Row],[Days_to_Activate]]&gt;14, "Outlier")</f>
        <v>Slow</v>
      </c>
    </row>
    <row r="184" spans="1:14" x14ac:dyDescent="0.25">
      <c r="A184" t="s">
        <v>271</v>
      </c>
      <c r="B184">
        <v>24</v>
      </c>
      <c r="C184" t="s">
        <v>22</v>
      </c>
      <c r="D184" t="s">
        <v>14</v>
      </c>
      <c r="E184" s="2">
        <v>46109</v>
      </c>
      <c r="F184" t="s">
        <v>16</v>
      </c>
      <c r="G184" t="s">
        <v>17</v>
      </c>
      <c r="H184">
        <v>2</v>
      </c>
      <c r="I184" t="s">
        <v>20</v>
      </c>
      <c r="J184" s="1">
        <v>65</v>
      </c>
      <c r="K184" s="3">
        <v>524940</v>
      </c>
      <c r="L184">
        <v>5</v>
      </c>
      <c r="M184" t="str" cm="1">
        <f t="array" ref="M184">_xlfn.IFS(Table1[[#This Row],[Age]]="", "Missing", Table1[[#This Row],[Age]]&lt;20, "Below 20", Table1[[#This Row],[Age]]&lt;30, "20-29", Table1[[#This Row],[Age]]&lt;40, "30-39", Table1[[#This Row],[Age]]&lt;50, "40-49", Table1[[#This Row],[Age]]&lt;60, "50-59", Table1[[#This Row],[Age]]&gt;=60, "60+")</f>
        <v>20-29</v>
      </c>
      <c r="N184" t="str" cm="1">
        <f t="array" ref="N184">_xlfn.IFS(Table1[[#This Row],[Days_to_Activate]]&lt;=3, "Fast", Table1[[#This Row],[Days_to_Activate]]&lt;=7, "Moderate", Table1[[#This Row],[Days_to_Activate]]&lt;=14, "Slow", Table1[[#This Row],[Days_to_Activate]]&gt;14, "Outlier")</f>
        <v>Fast</v>
      </c>
    </row>
    <row r="185" spans="1:14" x14ac:dyDescent="0.25">
      <c r="A185" t="s">
        <v>272</v>
      </c>
      <c r="B185">
        <v>20</v>
      </c>
      <c r="C185" t="s">
        <v>13</v>
      </c>
      <c r="D185" t="s">
        <v>14</v>
      </c>
      <c r="E185" s="2">
        <v>46108</v>
      </c>
      <c r="F185" t="s">
        <v>16</v>
      </c>
      <c r="G185" t="s">
        <v>17</v>
      </c>
      <c r="H185">
        <v>2</v>
      </c>
      <c r="I185" t="s">
        <v>18</v>
      </c>
      <c r="J185" s="1">
        <v>65</v>
      </c>
      <c r="K185" s="3">
        <v>246350</v>
      </c>
      <c r="L185">
        <v>4</v>
      </c>
      <c r="M185" t="str" cm="1">
        <f t="array" ref="M185">_xlfn.IFS(Table1[[#This Row],[Age]]="", "Missing", Table1[[#This Row],[Age]]&lt;20, "Below 20", Table1[[#This Row],[Age]]&lt;30, "20-29", Table1[[#This Row],[Age]]&lt;40, "30-39", Table1[[#This Row],[Age]]&lt;50, "40-49", Table1[[#This Row],[Age]]&lt;60, "50-59", Table1[[#This Row],[Age]]&gt;=60, "60+")</f>
        <v>20-29</v>
      </c>
      <c r="N185" t="str" cm="1">
        <f t="array" ref="N185">_xlfn.IFS(Table1[[#This Row],[Days_to_Activate]]&lt;=3, "Fast", Table1[[#This Row],[Days_to_Activate]]&lt;=7, "Moderate", Table1[[#This Row],[Days_to_Activate]]&lt;=14, "Slow", Table1[[#This Row],[Days_to_Activate]]&gt;14, "Outlier")</f>
        <v>Fast</v>
      </c>
    </row>
    <row r="186" spans="1:14" x14ac:dyDescent="0.25">
      <c r="A186" t="s">
        <v>273</v>
      </c>
      <c r="B186">
        <v>57</v>
      </c>
      <c r="C186" t="s">
        <v>22</v>
      </c>
      <c r="D186" t="s">
        <v>14</v>
      </c>
      <c r="E186" s="2">
        <v>46180</v>
      </c>
      <c r="F186" t="s">
        <v>16</v>
      </c>
      <c r="G186" t="s">
        <v>17</v>
      </c>
      <c r="H186">
        <v>5</v>
      </c>
      <c r="I186" t="s">
        <v>20</v>
      </c>
      <c r="J186" s="1">
        <v>65</v>
      </c>
      <c r="K186" s="3">
        <v>664365</v>
      </c>
      <c r="L186">
        <v>4</v>
      </c>
      <c r="M186" t="str" cm="1">
        <f t="array" ref="M186">_xlfn.IFS(Table1[[#This Row],[Age]]="", "Missing", Table1[[#This Row],[Age]]&lt;20, "Below 20", Table1[[#This Row],[Age]]&lt;30, "20-29", Table1[[#This Row],[Age]]&lt;40, "30-39", Table1[[#This Row],[Age]]&lt;50, "40-49", Table1[[#This Row],[Age]]&lt;60, "50-59", Table1[[#This Row],[Age]]&gt;=60, "60+")</f>
        <v>50-59</v>
      </c>
      <c r="N186" t="str" cm="1">
        <f t="array" ref="N186">_xlfn.IFS(Table1[[#This Row],[Days_to_Activate]]&lt;=3, "Fast", Table1[[#This Row],[Days_to_Activate]]&lt;=7, "Moderate", Table1[[#This Row],[Days_to_Activate]]&lt;=14, "Slow", Table1[[#This Row],[Days_to_Activate]]&gt;14, "Outlier")</f>
        <v>Moderate</v>
      </c>
    </row>
    <row r="187" spans="1:14" x14ac:dyDescent="0.25">
      <c r="A187" t="s">
        <v>274</v>
      </c>
      <c r="B187">
        <v>54</v>
      </c>
      <c r="C187" t="s">
        <v>22</v>
      </c>
      <c r="D187" t="s">
        <v>49</v>
      </c>
      <c r="E187" s="2">
        <v>46027</v>
      </c>
      <c r="F187" t="s">
        <v>16</v>
      </c>
      <c r="G187" t="s">
        <v>17</v>
      </c>
      <c r="H187">
        <v>6</v>
      </c>
      <c r="I187" t="s">
        <v>20</v>
      </c>
      <c r="J187" s="1">
        <v>80</v>
      </c>
      <c r="K187" s="3">
        <v>154880</v>
      </c>
      <c r="L187">
        <v>4</v>
      </c>
      <c r="M187" t="str" cm="1">
        <f t="array" ref="M187">_xlfn.IFS(Table1[[#This Row],[Age]]="", "Missing", Table1[[#This Row],[Age]]&lt;20, "Below 20", Table1[[#This Row],[Age]]&lt;30, "20-29", Table1[[#This Row],[Age]]&lt;40, "30-39", Table1[[#This Row],[Age]]&lt;50, "40-49", Table1[[#This Row],[Age]]&lt;60, "50-59", Table1[[#This Row],[Age]]&gt;=60, "60+")</f>
        <v>50-59</v>
      </c>
      <c r="N187" t="str" cm="1">
        <f t="array" ref="N187">_xlfn.IFS(Table1[[#This Row],[Days_to_Activate]]&lt;=3, "Fast", Table1[[#This Row],[Days_to_Activate]]&lt;=7, "Moderate", Table1[[#This Row],[Days_to_Activate]]&lt;=14, "Slow", Table1[[#This Row],[Days_to_Activate]]&gt;14, "Outlier")</f>
        <v>Moderate</v>
      </c>
    </row>
    <row r="188" spans="1:14" x14ac:dyDescent="0.25">
      <c r="A188" t="s">
        <v>275</v>
      </c>
      <c r="B188">
        <v>34</v>
      </c>
      <c r="C188" t="s">
        <v>13</v>
      </c>
      <c r="D188" t="s">
        <v>30</v>
      </c>
      <c r="E188" s="2">
        <v>46172</v>
      </c>
      <c r="F188" t="s">
        <v>16</v>
      </c>
      <c r="G188" t="s">
        <v>17</v>
      </c>
      <c r="H188">
        <v>11</v>
      </c>
      <c r="I188" t="s">
        <v>18</v>
      </c>
      <c r="J188" s="1">
        <v>48</v>
      </c>
      <c r="K188" s="3">
        <v>188208</v>
      </c>
      <c r="L188">
        <v>2</v>
      </c>
      <c r="M188" t="str" cm="1">
        <f t="array" ref="M188">_xlfn.IFS(Table1[[#This Row],[Age]]="", "Missing", Table1[[#This Row],[Age]]&lt;20, "Below 20", Table1[[#This Row],[Age]]&lt;30, "20-29", Table1[[#This Row],[Age]]&lt;40, "30-39", Table1[[#This Row],[Age]]&lt;50, "40-49", Table1[[#This Row],[Age]]&lt;60, "50-59", Table1[[#This Row],[Age]]&gt;=60, "60+")</f>
        <v>30-39</v>
      </c>
      <c r="N188" t="str" cm="1">
        <f t="array" ref="N188">_xlfn.IFS(Table1[[#This Row],[Days_to_Activate]]&lt;=3, "Fast", Table1[[#This Row],[Days_to_Activate]]&lt;=7, "Moderate", Table1[[#This Row],[Days_to_Activate]]&lt;=14, "Slow", Table1[[#This Row],[Days_to_Activate]]&gt;14, "Outlier")</f>
        <v>Slow</v>
      </c>
    </row>
    <row r="189" spans="1:14" x14ac:dyDescent="0.25">
      <c r="A189" t="s">
        <v>276</v>
      </c>
      <c r="B189">
        <v>20</v>
      </c>
      <c r="C189" t="s">
        <v>13</v>
      </c>
      <c r="D189" t="s">
        <v>14</v>
      </c>
      <c r="E189" s="2">
        <v>46135</v>
      </c>
      <c r="F189" t="s">
        <v>16</v>
      </c>
      <c r="G189" t="s">
        <v>17</v>
      </c>
      <c r="H189">
        <v>11</v>
      </c>
      <c r="I189" t="s">
        <v>20</v>
      </c>
      <c r="J189" s="1">
        <v>64</v>
      </c>
      <c r="K189" s="3">
        <v>737152</v>
      </c>
      <c r="L189">
        <v>4</v>
      </c>
      <c r="M189" t="str" cm="1">
        <f t="array" ref="M189">_xlfn.IFS(Table1[[#This Row],[Age]]="", "Missing", Table1[[#This Row],[Age]]&lt;20, "Below 20", Table1[[#This Row],[Age]]&lt;30, "20-29", Table1[[#This Row],[Age]]&lt;40, "30-39", Table1[[#This Row],[Age]]&lt;50, "40-49", Table1[[#This Row],[Age]]&lt;60, "50-59", Table1[[#This Row],[Age]]&gt;=60, "60+")</f>
        <v>20-29</v>
      </c>
      <c r="N189" t="str" cm="1">
        <f t="array" ref="N189">_xlfn.IFS(Table1[[#This Row],[Days_to_Activate]]&lt;=3, "Fast", Table1[[#This Row],[Days_to_Activate]]&lt;=7, "Moderate", Table1[[#This Row],[Days_to_Activate]]&lt;=14, "Slow", Table1[[#This Row],[Days_to_Activate]]&gt;14, "Outlier")</f>
        <v>Slow</v>
      </c>
    </row>
    <row r="190" spans="1:14" x14ac:dyDescent="0.25">
      <c r="A190" t="s">
        <v>277</v>
      </c>
      <c r="B190">
        <v>21</v>
      </c>
      <c r="C190" t="s">
        <v>13</v>
      </c>
      <c r="D190" t="s">
        <v>49</v>
      </c>
      <c r="E190" s="2">
        <v>46166</v>
      </c>
      <c r="F190" t="s">
        <v>16</v>
      </c>
      <c r="G190" t="s">
        <v>17</v>
      </c>
      <c r="H190">
        <v>8</v>
      </c>
      <c r="I190" t="s">
        <v>20</v>
      </c>
      <c r="J190" s="1">
        <v>22</v>
      </c>
      <c r="K190" s="3">
        <v>198682</v>
      </c>
      <c r="L190">
        <v>3</v>
      </c>
      <c r="M190" t="str" cm="1">
        <f t="array" ref="M190">_xlfn.IFS(Table1[[#This Row],[Age]]="", "Missing", Table1[[#This Row],[Age]]&lt;20, "Below 20", Table1[[#This Row],[Age]]&lt;30, "20-29", Table1[[#This Row],[Age]]&lt;40, "30-39", Table1[[#This Row],[Age]]&lt;50, "40-49", Table1[[#This Row],[Age]]&lt;60, "50-59", Table1[[#This Row],[Age]]&gt;=60, "60+")</f>
        <v>20-29</v>
      </c>
      <c r="N190" t="str" cm="1">
        <f t="array" ref="N190">_xlfn.IFS(Table1[[#This Row],[Days_to_Activate]]&lt;=3, "Fast", Table1[[#This Row],[Days_to_Activate]]&lt;=7, "Moderate", Table1[[#This Row],[Days_to_Activate]]&lt;=14, "Slow", Table1[[#This Row],[Days_to_Activate]]&gt;14, "Outlier")</f>
        <v>Slow</v>
      </c>
    </row>
    <row r="191" spans="1:14" x14ac:dyDescent="0.25">
      <c r="A191" t="s">
        <v>278</v>
      </c>
      <c r="B191">
        <v>52</v>
      </c>
      <c r="C191" t="s">
        <v>22</v>
      </c>
      <c r="D191" t="s">
        <v>30</v>
      </c>
      <c r="E191" s="2">
        <v>46197</v>
      </c>
      <c r="F191" t="s">
        <v>16</v>
      </c>
      <c r="G191" t="s">
        <v>17</v>
      </c>
      <c r="H191">
        <v>9</v>
      </c>
      <c r="I191" t="s">
        <v>20</v>
      </c>
      <c r="J191" s="1">
        <v>31</v>
      </c>
      <c r="K191" s="3">
        <v>188201</v>
      </c>
      <c r="L191">
        <v>3</v>
      </c>
      <c r="M191" t="str" cm="1">
        <f t="array" ref="M191">_xlfn.IFS(Table1[[#This Row],[Age]]="", "Missing", Table1[[#This Row],[Age]]&lt;20, "Below 20", Table1[[#This Row],[Age]]&lt;30, "20-29", Table1[[#This Row],[Age]]&lt;40, "30-39", Table1[[#This Row],[Age]]&lt;50, "40-49", Table1[[#This Row],[Age]]&lt;60, "50-59", Table1[[#This Row],[Age]]&gt;=60, "60+")</f>
        <v>50-59</v>
      </c>
      <c r="N191" t="str" cm="1">
        <f t="array" ref="N191">_xlfn.IFS(Table1[[#This Row],[Days_to_Activate]]&lt;=3, "Fast", Table1[[#This Row],[Days_to_Activate]]&lt;=7, "Moderate", Table1[[#This Row],[Days_to_Activate]]&lt;=14, "Slow", Table1[[#This Row],[Days_to_Activate]]&gt;14, "Outlier")</f>
        <v>Slow</v>
      </c>
    </row>
    <row r="192" spans="1:14" x14ac:dyDescent="0.25">
      <c r="A192" t="s">
        <v>279</v>
      </c>
      <c r="B192">
        <v>32</v>
      </c>
      <c r="C192" t="s">
        <v>22</v>
      </c>
      <c r="D192" t="s">
        <v>23</v>
      </c>
      <c r="E192" s="2">
        <v>46203</v>
      </c>
      <c r="F192" t="s">
        <v>16</v>
      </c>
      <c r="G192" t="s">
        <v>17</v>
      </c>
      <c r="H192">
        <v>5</v>
      </c>
      <c r="I192" t="s">
        <v>20</v>
      </c>
      <c r="J192" s="1">
        <v>71</v>
      </c>
      <c r="K192" s="3">
        <v>424580</v>
      </c>
      <c r="L192">
        <v>3</v>
      </c>
      <c r="M192" t="str" cm="1">
        <f t="array" ref="M192">_xlfn.IFS(Table1[[#This Row],[Age]]="", "Missing", Table1[[#This Row],[Age]]&lt;20, "Below 20", Table1[[#This Row],[Age]]&lt;30, "20-29", Table1[[#This Row],[Age]]&lt;40, "30-39", Table1[[#This Row],[Age]]&lt;50, "40-49", Table1[[#This Row],[Age]]&lt;60, "50-59", Table1[[#This Row],[Age]]&gt;=60, "60+")</f>
        <v>30-39</v>
      </c>
      <c r="N192" t="str" cm="1">
        <f t="array" ref="N192">_xlfn.IFS(Table1[[#This Row],[Days_to_Activate]]&lt;=3, "Fast", Table1[[#This Row],[Days_to_Activate]]&lt;=7, "Moderate", Table1[[#This Row],[Days_to_Activate]]&lt;=14, "Slow", Table1[[#This Row],[Days_to_Activate]]&gt;14, "Outlier")</f>
        <v>Moderate</v>
      </c>
    </row>
    <row r="193" spans="1:14" x14ac:dyDescent="0.25">
      <c r="A193" t="s">
        <v>280</v>
      </c>
      <c r="B193">
        <v>25</v>
      </c>
      <c r="C193" t="s">
        <v>22</v>
      </c>
      <c r="D193" t="s">
        <v>28</v>
      </c>
      <c r="E193" s="2">
        <v>46124</v>
      </c>
      <c r="F193" t="s">
        <v>16</v>
      </c>
      <c r="G193" t="s">
        <v>37</v>
      </c>
      <c r="I193" t="s">
        <v>18</v>
      </c>
      <c r="J193" s="1">
        <v>2</v>
      </c>
      <c r="K193" s="3">
        <v>4378</v>
      </c>
      <c r="L193">
        <v>3</v>
      </c>
      <c r="M193" t="str" cm="1">
        <f t="array" ref="M193">_xlfn.IFS(Table1[[#This Row],[Age]]="", "Missing", Table1[[#This Row],[Age]]&lt;20, "Below 20", Table1[[#This Row],[Age]]&lt;30, "20-29", Table1[[#This Row],[Age]]&lt;40, "30-39", Table1[[#This Row],[Age]]&lt;50, "40-49", Table1[[#This Row],[Age]]&lt;60, "50-59", Table1[[#This Row],[Age]]&gt;=60, "60+")</f>
        <v>20-29</v>
      </c>
      <c r="N193" t="str" cm="1">
        <f t="array" ref="N193">_xlfn.IFS(Table1[[#This Row],[Days_to_Activate]]&lt;=3, "Fast", Table1[[#This Row],[Days_to_Activate]]&lt;=7, "Moderate", Table1[[#This Row],[Days_to_Activate]]&lt;=14, "Slow", Table1[[#This Row],[Days_to_Activate]]&gt;14, "Outlier")</f>
        <v>Fast</v>
      </c>
    </row>
    <row r="194" spans="1:14" x14ac:dyDescent="0.25">
      <c r="A194" t="s">
        <v>281</v>
      </c>
      <c r="B194">
        <v>23</v>
      </c>
      <c r="C194" t="s">
        <v>22</v>
      </c>
      <c r="D194" t="s">
        <v>91</v>
      </c>
      <c r="E194" s="2">
        <v>46190</v>
      </c>
      <c r="F194" t="s">
        <v>16</v>
      </c>
      <c r="G194" t="s">
        <v>17</v>
      </c>
      <c r="H194">
        <v>3</v>
      </c>
      <c r="I194" t="s">
        <v>18</v>
      </c>
      <c r="J194" s="1">
        <v>34</v>
      </c>
      <c r="K194" s="3">
        <v>364072</v>
      </c>
      <c r="L194">
        <v>5</v>
      </c>
      <c r="M194" t="str" cm="1">
        <f t="array" ref="M194">_xlfn.IFS(Table1[[#This Row],[Age]]="", "Missing", Table1[[#This Row],[Age]]&lt;20, "Below 20", Table1[[#This Row],[Age]]&lt;30, "20-29", Table1[[#This Row],[Age]]&lt;40, "30-39", Table1[[#This Row],[Age]]&lt;50, "40-49", Table1[[#This Row],[Age]]&lt;60, "50-59", Table1[[#This Row],[Age]]&gt;=60, "60+")</f>
        <v>20-29</v>
      </c>
      <c r="N194" t="str" cm="1">
        <f t="array" ref="N194">_xlfn.IFS(Table1[[#This Row],[Days_to_Activate]]&lt;=3, "Fast", Table1[[#This Row],[Days_to_Activate]]&lt;=7, "Moderate", Table1[[#This Row],[Days_to_Activate]]&lt;=14, "Slow", Table1[[#This Row],[Days_to_Activate]]&gt;14, "Outlier")</f>
        <v>Fast</v>
      </c>
    </row>
    <row r="195" spans="1:14" x14ac:dyDescent="0.25">
      <c r="A195" t="s">
        <v>282</v>
      </c>
      <c r="B195">
        <v>35</v>
      </c>
      <c r="C195" t="s">
        <v>13</v>
      </c>
      <c r="D195" t="s">
        <v>14</v>
      </c>
      <c r="E195" s="2">
        <v>46173</v>
      </c>
      <c r="F195" t="s">
        <v>16</v>
      </c>
      <c r="G195" t="s">
        <v>17</v>
      </c>
      <c r="H195">
        <v>14</v>
      </c>
      <c r="I195" t="s">
        <v>20</v>
      </c>
      <c r="J195" s="1">
        <v>29</v>
      </c>
      <c r="K195" s="3">
        <v>68440</v>
      </c>
      <c r="L195">
        <v>1</v>
      </c>
      <c r="M195" t="str" cm="1">
        <f t="array" ref="M195">_xlfn.IFS(Table1[[#This Row],[Age]]="", "Missing", Table1[[#This Row],[Age]]&lt;20, "Below 20", Table1[[#This Row],[Age]]&lt;30, "20-29", Table1[[#This Row],[Age]]&lt;40, "30-39", Table1[[#This Row],[Age]]&lt;50, "40-49", Table1[[#This Row],[Age]]&lt;60, "50-59", Table1[[#This Row],[Age]]&gt;=60, "60+")</f>
        <v>30-39</v>
      </c>
      <c r="N195" t="str" cm="1">
        <f t="array" ref="N195">_xlfn.IFS(Table1[[#This Row],[Days_to_Activate]]&lt;=3, "Fast", Table1[[#This Row],[Days_to_Activate]]&lt;=7, "Moderate", Table1[[#This Row],[Days_to_Activate]]&lt;=14, "Slow", Table1[[#This Row],[Days_to_Activate]]&gt;14, "Outlier")</f>
        <v>Slow</v>
      </c>
    </row>
    <row r="196" spans="1:14" x14ac:dyDescent="0.25">
      <c r="A196" t="s">
        <v>283</v>
      </c>
      <c r="B196">
        <v>44</v>
      </c>
      <c r="C196" t="s">
        <v>22</v>
      </c>
      <c r="D196" t="s">
        <v>30</v>
      </c>
      <c r="E196" s="2">
        <v>46048</v>
      </c>
      <c r="F196" t="s">
        <v>16</v>
      </c>
      <c r="G196" t="s">
        <v>17</v>
      </c>
      <c r="H196">
        <v>8</v>
      </c>
      <c r="I196" t="s">
        <v>43</v>
      </c>
      <c r="J196" s="1">
        <v>20</v>
      </c>
      <c r="K196" s="3">
        <v>163320</v>
      </c>
      <c r="L196">
        <v>4</v>
      </c>
      <c r="M196" t="str" cm="1">
        <f t="array" ref="M196">_xlfn.IFS(Table1[[#This Row],[Age]]="", "Missing", Table1[[#This Row],[Age]]&lt;20, "Below 20", Table1[[#This Row],[Age]]&lt;30, "20-29", Table1[[#This Row],[Age]]&lt;40, "30-39", Table1[[#This Row],[Age]]&lt;50, "40-49", Table1[[#This Row],[Age]]&lt;60, "50-59", Table1[[#This Row],[Age]]&gt;=60, "60+")</f>
        <v>40-49</v>
      </c>
      <c r="N196" t="str" cm="1">
        <f t="array" ref="N196">_xlfn.IFS(Table1[[#This Row],[Days_to_Activate]]&lt;=3, "Fast", Table1[[#This Row],[Days_to_Activate]]&lt;=7, "Moderate", Table1[[#This Row],[Days_to_Activate]]&lt;=14, "Slow", Table1[[#This Row],[Days_to_Activate]]&gt;14, "Outlier")</f>
        <v>Slow</v>
      </c>
    </row>
    <row r="197" spans="1:14" x14ac:dyDescent="0.25">
      <c r="A197" t="s">
        <v>284</v>
      </c>
      <c r="B197">
        <v>48</v>
      </c>
      <c r="C197" t="s">
        <v>13</v>
      </c>
      <c r="D197" t="s">
        <v>30</v>
      </c>
      <c r="E197" s="2">
        <v>46096</v>
      </c>
      <c r="F197" t="s">
        <v>16</v>
      </c>
      <c r="G197" t="s">
        <v>17</v>
      </c>
      <c r="H197">
        <v>14</v>
      </c>
      <c r="I197" t="s">
        <v>18</v>
      </c>
      <c r="J197" s="1">
        <v>73</v>
      </c>
      <c r="K197" s="3">
        <v>387192</v>
      </c>
      <c r="L197">
        <v>1</v>
      </c>
      <c r="M197" t="str" cm="1">
        <f t="array" ref="M197">_xlfn.IFS(Table1[[#This Row],[Age]]="", "Missing", Table1[[#This Row],[Age]]&lt;20, "Below 20", Table1[[#This Row],[Age]]&lt;30, "20-29", Table1[[#This Row],[Age]]&lt;40, "30-39", Table1[[#This Row],[Age]]&lt;50, "40-49", Table1[[#This Row],[Age]]&lt;60, "50-59", Table1[[#This Row],[Age]]&gt;=60, "60+")</f>
        <v>40-49</v>
      </c>
      <c r="N197" t="str" cm="1">
        <f t="array" ref="N197">_xlfn.IFS(Table1[[#This Row],[Days_to_Activate]]&lt;=3, "Fast", Table1[[#This Row],[Days_to_Activate]]&lt;=7, "Moderate", Table1[[#This Row],[Days_to_Activate]]&lt;=14, "Slow", Table1[[#This Row],[Days_to_Activate]]&gt;14, "Outlier")</f>
        <v>Slow</v>
      </c>
    </row>
    <row r="198" spans="1:14" x14ac:dyDescent="0.25">
      <c r="A198" t="s">
        <v>285</v>
      </c>
      <c r="B198">
        <v>29</v>
      </c>
      <c r="C198" t="s">
        <v>22</v>
      </c>
      <c r="D198" t="s">
        <v>28</v>
      </c>
      <c r="E198" s="2">
        <v>46068</v>
      </c>
      <c r="F198" t="s">
        <v>36</v>
      </c>
      <c r="G198" t="s">
        <v>17</v>
      </c>
      <c r="H198">
        <v>13</v>
      </c>
      <c r="I198" t="s">
        <v>20</v>
      </c>
      <c r="J198" s="1">
        <v>63</v>
      </c>
      <c r="K198" s="3">
        <v>286776</v>
      </c>
      <c r="L198">
        <v>3</v>
      </c>
      <c r="M198" t="str" cm="1">
        <f t="array" ref="M198">_xlfn.IFS(Table1[[#This Row],[Age]]="", "Missing", Table1[[#This Row],[Age]]&lt;20, "Below 20", Table1[[#This Row],[Age]]&lt;30, "20-29", Table1[[#This Row],[Age]]&lt;40, "30-39", Table1[[#This Row],[Age]]&lt;50, "40-49", Table1[[#This Row],[Age]]&lt;60, "50-59", Table1[[#This Row],[Age]]&gt;=60, "60+")</f>
        <v>20-29</v>
      </c>
      <c r="N198" t="str" cm="1">
        <f t="array" ref="N198">_xlfn.IFS(Table1[[#This Row],[Days_to_Activate]]&lt;=3, "Fast", Table1[[#This Row],[Days_to_Activate]]&lt;=7, "Moderate", Table1[[#This Row],[Days_to_Activate]]&lt;=14, "Slow", Table1[[#This Row],[Days_to_Activate]]&gt;14, "Outlier")</f>
        <v>Slow</v>
      </c>
    </row>
    <row r="199" spans="1:14" x14ac:dyDescent="0.25">
      <c r="A199" t="s">
        <v>286</v>
      </c>
      <c r="B199">
        <v>20</v>
      </c>
      <c r="C199" t="s">
        <v>13</v>
      </c>
      <c r="D199" t="s">
        <v>14</v>
      </c>
      <c r="E199" s="2">
        <v>46177</v>
      </c>
      <c r="F199" t="s">
        <v>16</v>
      </c>
      <c r="G199" t="s">
        <v>37</v>
      </c>
      <c r="I199" t="s">
        <v>20</v>
      </c>
      <c r="J199" s="1">
        <v>5</v>
      </c>
      <c r="K199" s="3">
        <v>52005</v>
      </c>
      <c r="L199">
        <v>4</v>
      </c>
      <c r="M199" t="str" cm="1">
        <f t="array" ref="M199">_xlfn.IFS(Table1[[#This Row],[Age]]="", "Missing", Table1[[#This Row],[Age]]&lt;20, "Below 20", Table1[[#This Row],[Age]]&lt;30, "20-29", Table1[[#This Row],[Age]]&lt;40, "30-39", Table1[[#This Row],[Age]]&lt;50, "40-49", Table1[[#This Row],[Age]]&lt;60, "50-59", Table1[[#This Row],[Age]]&gt;=60, "60+")</f>
        <v>20-29</v>
      </c>
      <c r="N199" t="str" cm="1">
        <f t="array" ref="N199">_xlfn.IFS(Table1[[#This Row],[Days_to_Activate]]&lt;=3, "Fast", Table1[[#This Row],[Days_to_Activate]]&lt;=7, "Moderate", Table1[[#This Row],[Days_to_Activate]]&lt;=14, "Slow", Table1[[#This Row],[Days_to_Activate]]&gt;14, "Outlier")</f>
        <v>Fast</v>
      </c>
    </row>
    <row r="200" spans="1:14" x14ac:dyDescent="0.25">
      <c r="A200" t="s">
        <v>288</v>
      </c>
      <c r="B200">
        <v>26</v>
      </c>
      <c r="C200" t="s">
        <v>22</v>
      </c>
      <c r="D200" t="s">
        <v>14</v>
      </c>
      <c r="E200" s="2">
        <v>46051</v>
      </c>
      <c r="F200" t="s">
        <v>16</v>
      </c>
      <c r="G200" t="s">
        <v>17</v>
      </c>
      <c r="H200">
        <v>10</v>
      </c>
      <c r="I200" t="s">
        <v>20</v>
      </c>
      <c r="J200" s="1">
        <v>23</v>
      </c>
      <c r="K200" s="3">
        <v>39790</v>
      </c>
      <c r="L200">
        <v>3</v>
      </c>
      <c r="M200" t="str" cm="1">
        <f t="array" ref="M200">_xlfn.IFS(Table1[[#This Row],[Age]]="", "Missing", Table1[[#This Row],[Age]]&lt;20, "Below 20", Table1[[#This Row],[Age]]&lt;30, "20-29", Table1[[#This Row],[Age]]&lt;40, "30-39", Table1[[#This Row],[Age]]&lt;50, "40-49", Table1[[#This Row],[Age]]&lt;60, "50-59", Table1[[#This Row],[Age]]&gt;=60, "60+")</f>
        <v>20-29</v>
      </c>
      <c r="N200" t="str" cm="1">
        <f t="array" ref="N200">_xlfn.IFS(Table1[[#This Row],[Days_to_Activate]]&lt;=3, "Fast", Table1[[#This Row],[Days_to_Activate]]&lt;=7, "Moderate", Table1[[#This Row],[Days_to_Activate]]&lt;=14, "Slow", Table1[[#This Row],[Days_to_Activate]]&gt;14, "Outlier")</f>
        <v>Slow</v>
      </c>
    </row>
    <row r="201" spans="1:14" x14ac:dyDescent="0.25">
      <c r="E201"/>
      <c r="J201"/>
      <c r="K201"/>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98C6-FCD8-4FED-9322-D2B1CC63087B}">
  <dimension ref="A3:N58"/>
  <sheetViews>
    <sheetView workbookViewId="0">
      <selection activeCell="H16" sqref="H16"/>
    </sheetView>
  </sheetViews>
  <sheetFormatPr defaultRowHeight="15" x14ac:dyDescent="0.25"/>
  <cols>
    <col min="1" max="1" width="11.28515625" bestFit="1" customWidth="1"/>
    <col min="2" max="2" width="16.42578125" bestFit="1" customWidth="1"/>
    <col min="3" max="3" width="13.140625" bestFit="1" customWidth="1"/>
    <col min="4" max="4" width="26.42578125" bestFit="1" customWidth="1"/>
    <col min="5" max="5" width="37.5703125" bestFit="1" customWidth="1"/>
    <col min="6" max="6" width="16.42578125" bestFit="1" customWidth="1"/>
    <col min="7" max="7" width="26.85546875" bestFit="1" customWidth="1"/>
    <col min="8" max="8" width="37.5703125" bestFit="1" customWidth="1"/>
    <col min="9" max="9" width="21.5703125" bestFit="1" customWidth="1"/>
    <col min="10" max="10" width="31.85546875" bestFit="1" customWidth="1"/>
    <col min="11" max="11" width="42.7109375" bestFit="1" customWidth="1"/>
    <col min="12" max="12" width="15.140625" bestFit="1" customWidth="1"/>
    <col min="13" max="13" width="32.85546875" bestFit="1" customWidth="1"/>
    <col min="14" max="14" width="37.5703125" bestFit="1" customWidth="1"/>
    <col min="15" max="15" width="31.85546875" bestFit="1" customWidth="1"/>
    <col min="16" max="16" width="42.7109375" bestFit="1" customWidth="1"/>
    <col min="17" max="17" width="5.28515625" bestFit="1" customWidth="1"/>
    <col min="18" max="18" width="11.28515625" bestFit="1" customWidth="1"/>
    <col min="19" max="23" width="2" bestFit="1" customWidth="1"/>
    <col min="24" max="29" width="3" bestFit="1" customWidth="1"/>
    <col min="30" max="30" width="7.28515625" bestFit="1" customWidth="1"/>
    <col min="31" max="31" width="11.28515625" bestFit="1" customWidth="1"/>
    <col min="32" max="207" width="9.5703125" bestFit="1" customWidth="1"/>
    <col min="208" max="208" width="7.28515625" bestFit="1" customWidth="1"/>
    <col min="209" max="209" width="11.28515625" bestFit="1" customWidth="1"/>
  </cols>
  <sheetData>
    <row r="3" spans="1:14" x14ac:dyDescent="0.25">
      <c r="A3" s="4" t="s">
        <v>321</v>
      </c>
      <c r="B3" t="s">
        <v>319</v>
      </c>
      <c r="M3" s="4" t="s">
        <v>309</v>
      </c>
      <c r="N3" t="s">
        <v>291</v>
      </c>
    </row>
    <row r="4" spans="1:14" x14ac:dyDescent="0.25">
      <c r="A4" s="5" t="s">
        <v>14</v>
      </c>
      <c r="B4" s="1">
        <v>83</v>
      </c>
      <c r="M4" s="5" t="s">
        <v>17</v>
      </c>
      <c r="N4" s="1">
        <v>151</v>
      </c>
    </row>
    <row r="5" spans="1:14" x14ac:dyDescent="0.25">
      <c r="A5" s="5" t="s">
        <v>49</v>
      </c>
      <c r="B5" s="1">
        <v>27</v>
      </c>
      <c r="M5" s="5" t="s">
        <v>37</v>
      </c>
      <c r="N5" s="1">
        <v>48</v>
      </c>
    </row>
    <row r="6" spans="1:14" x14ac:dyDescent="0.25">
      <c r="A6" s="5" t="s">
        <v>30</v>
      </c>
      <c r="B6" s="1">
        <v>22</v>
      </c>
      <c r="M6" s="5" t="s">
        <v>290</v>
      </c>
      <c r="N6" s="1">
        <v>199</v>
      </c>
    </row>
    <row r="7" spans="1:14" x14ac:dyDescent="0.25">
      <c r="A7" s="5" t="s">
        <v>23</v>
      </c>
      <c r="B7" s="1">
        <v>20</v>
      </c>
    </row>
    <row r="8" spans="1:14" x14ac:dyDescent="0.25">
      <c r="A8" s="5" t="s">
        <v>26</v>
      </c>
      <c r="B8" s="1">
        <v>19</v>
      </c>
      <c r="N8" s="6">
        <f>GETPIVOTDATA("Customer_ID",$M$3,"Activation_Status","Activated")/GETPIVOTDATA("Customer_ID",$M$3)*100</f>
        <v>75.879396984924625</v>
      </c>
    </row>
    <row r="9" spans="1:14" x14ac:dyDescent="0.25">
      <c r="A9" s="5" t="s">
        <v>28</v>
      </c>
      <c r="B9" s="1">
        <v>12</v>
      </c>
    </row>
    <row r="10" spans="1:14" x14ac:dyDescent="0.25">
      <c r="A10" s="5" t="s">
        <v>91</v>
      </c>
      <c r="B10" s="1">
        <v>9</v>
      </c>
    </row>
    <row r="11" spans="1:14" x14ac:dyDescent="0.25">
      <c r="A11" s="5" t="s">
        <v>33</v>
      </c>
      <c r="B11" s="1">
        <v>7</v>
      </c>
    </row>
    <row r="12" spans="1:14" x14ac:dyDescent="0.25">
      <c r="A12" s="5" t="s">
        <v>290</v>
      </c>
      <c r="B12" s="1">
        <v>199</v>
      </c>
    </row>
    <row r="13" spans="1:14" x14ac:dyDescent="0.25">
      <c r="M13" t="s">
        <v>310</v>
      </c>
    </row>
    <row r="14" spans="1:14" x14ac:dyDescent="0.25">
      <c r="M14" s="6">
        <v>7.7880794701986753</v>
      </c>
    </row>
    <row r="15" spans="1:14" x14ac:dyDescent="0.25">
      <c r="G15" t="s">
        <v>304</v>
      </c>
      <c r="H15" t="s">
        <v>302</v>
      </c>
    </row>
    <row r="16" spans="1:14" x14ac:dyDescent="0.25">
      <c r="C16" s="4" t="s">
        <v>289</v>
      </c>
      <c r="D16" t="s">
        <v>320</v>
      </c>
      <c r="G16" s="7">
        <v>199</v>
      </c>
      <c r="H16" s="6">
        <v>2.8341708542713566</v>
      </c>
    </row>
    <row r="17" spans="3:14" x14ac:dyDescent="0.25">
      <c r="C17" s="5" t="s">
        <v>20</v>
      </c>
      <c r="D17" s="8">
        <v>27998220</v>
      </c>
    </row>
    <row r="18" spans="3:14" x14ac:dyDescent="0.25">
      <c r="C18" s="5" t="s">
        <v>18</v>
      </c>
      <c r="D18" s="8">
        <v>10423553</v>
      </c>
      <c r="M18" s="4" t="s">
        <v>289</v>
      </c>
      <c r="N18" t="s">
        <v>311</v>
      </c>
    </row>
    <row r="19" spans="3:14" x14ac:dyDescent="0.25">
      <c r="C19" s="5" t="s">
        <v>43</v>
      </c>
      <c r="D19" s="8">
        <v>4186589</v>
      </c>
      <c r="M19" s="5" t="s">
        <v>312</v>
      </c>
      <c r="N19" s="6">
        <v>4</v>
      </c>
    </row>
    <row r="20" spans="3:14" x14ac:dyDescent="0.25">
      <c r="C20" s="5" t="s">
        <v>290</v>
      </c>
      <c r="D20" s="1">
        <v>42608362</v>
      </c>
      <c r="K20" t="s">
        <v>291</v>
      </c>
      <c r="M20" s="5" t="s">
        <v>300</v>
      </c>
      <c r="N20" s="6">
        <v>3.2025316455696204</v>
      </c>
    </row>
    <row r="21" spans="3:14" x14ac:dyDescent="0.25">
      <c r="K21" s="1">
        <v>199</v>
      </c>
      <c r="M21" s="5" t="s">
        <v>301</v>
      </c>
      <c r="N21" s="6">
        <v>2.8913043478260869</v>
      </c>
    </row>
    <row r="22" spans="3:14" x14ac:dyDescent="0.25">
      <c r="M22" s="5" t="s">
        <v>313</v>
      </c>
      <c r="N22" s="6">
        <v>2.3835616438356166</v>
      </c>
    </row>
    <row r="23" spans="3:14" x14ac:dyDescent="0.25">
      <c r="M23" s="5" t="s">
        <v>290</v>
      </c>
      <c r="N23" s="6">
        <v>2.8341708542713566</v>
      </c>
    </row>
    <row r="26" spans="3:14" x14ac:dyDescent="0.25">
      <c r="H26" s="4" t="s">
        <v>323</v>
      </c>
      <c r="I26" t="s">
        <v>319</v>
      </c>
    </row>
    <row r="27" spans="3:14" x14ac:dyDescent="0.25">
      <c r="H27" s="5" t="s">
        <v>17</v>
      </c>
      <c r="I27" s="1">
        <v>151</v>
      </c>
      <c r="L27" s="4" t="s">
        <v>324</v>
      </c>
      <c r="M27" t="s">
        <v>325</v>
      </c>
    </row>
    <row r="28" spans="3:14" x14ac:dyDescent="0.25">
      <c r="H28" s="5" t="s">
        <v>37</v>
      </c>
      <c r="I28" s="1">
        <v>48</v>
      </c>
      <c r="L28" s="5" t="s">
        <v>20</v>
      </c>
      <c r="M28" s="1">
        <v>27998220</v>
      </c>
    </row>
    <row r="29" spans="3:14" x14ac:dyDescent="0.25">
      <c r="H29" s="5" t="s">
        <v>290</v>
      </c>
      <c r="I29" s="1">
        <v>199</v>
      </c>
      <c r="L29" s="5" t="s">
        <v>18</v>
      </c>
      <c r="M29" s="1">
        <v>10423553</v>
      </c>
    </row>
    <row r="30" spans="3:14" x14ac:dyDescent="0.25">
      <c r="L30" s="5" t="s">
        <v>43</v>
      </c>
      <c r="M30" s="1">
        <v>4186589</v>
      </c>
    </row>
    <row r="31" spans="3:14" x14ac:dyDescent="0.25">
      <c r="L31" s="5" t="s">
        <v>290</v>
      </c>
      <c r="M31" s="1">
        <v>42608362</v>
      </c>
    </row>
    <row r="34" spans="2:11" x14ac:dyDescent="0.25">
      <c r="C34" s="4" t="s">
        <v>314</v>
      </c>
    </row>
    <row r="35" spans="2:11" x14ac:dyDescent="0.25">
      <c r="C35" t="s">
        <v>17</v>
      </c>
      <c r="F35" t="s">
        <v>37</v>
      </c>
      <c r="I35" t="s">
        <v>322</v>
      </c>
      <c r="J35" t="s">
        <v>315</v>
      </c>
      <c r="K35" t="s">
        <v>316</v>
      </c>
    </row>
    <row r="36" spans="2:11" x14ac:dyDescent="0.25">
      <c r="B36" s="4" t="s">
        <v>321</v>
      </c>
      <c r="C36" t="s">
        <v>319</v>
      </c>
      <c r="D36" t="s">
        <v>310</v>
      </c>
      <c r="E36" t="s">
        <v>311</v>
      </c>
      <c r="F36" t="s">
        <v>319</v>
      </c>
      <c r="G36" t="s">
        <v>310</v>
      </c>
      <c r="H36" t="s">
        <v>311</v>
      </c>
    </row>
    <row r="37" spans="2:11" x14ac:dyDescent="0.25">
      <c r="B37" s="5" t="s">
        <v>49</v>
      </c>
      <c r="C37" s="1">
        <v>21</v>
      </c>
      <c r="D37" s="6">
        <v>7.2857142857142856</v>
      </c>
      <c r="E37" s="6">
        <v>2.9047619047619047</v>
      </c>
      <c r="F37" s="1">
        <v>6</v>
      </c>
      <c r="G37" s="1"/>
      <c r="H37" s="1">
        <v>2</v>
      </c>
      <c r="I37" s="1">
        <v>27</v>
      </c>
      <c r="J37" s="1">
        <v>7.2857142857142856</v>
      </c>
      <c r="K37" s="1">
        <v>2.7037037037037037</v>
      </c>
    </row>
    <row r="38" spans="2:11" x14ac:dyDescent="0.25">
      <c r="B38" s="5" t="s">
        <v>28</v>
      </c>
      <c r="C38" s="1">
        <v>8</v>
      </c>
      <c r="D38" s="6">
        <v>12.25</v>
      </c>
      <c r="E38" s="6">
        <v>2.75</v>
      </c>
      <c r="F38" s="1">
        <v>4</v>
      </c>
      <c r="G38" s="1"/>
      <c r="H38" s="1">
        <v>2.75</v>
      </c>
      <c r="I38" s="1">
        <v>12</v>
      </c>
      <c r="J38" s="1">
        <v>12.25</v>
      </c>
      <c r="K38" s="1">
        <v>2.75</v>
      </c>
    </row>
    <row r="39" spans="2:11" x14ac:dyDescent="0.25">
      <c r="B39" s="5" t="s">
        <v>33</v>
      </c>
      <c r="C39" s="1">
        <v>7</v>
      </c>
      <c r="D39" s="6">
        <v>5.4285714285714288</v>
      </c>
      <c r="E39" s="6">
        <v>3.1428571428571428</v>
      </c>
      <c r="F39" s="1"/>
      <c r="G39" s="1"/>
      <c r="H39" s="1"/>
      <c r="I39" s="1">
        <v>7</v>
      </c>
      <c r="J39" s="1">
        <v>5.4285714285714288</v>
      </c>
      <c r="K39" s="1">
        <v>3.1428571428571428</v>
      </c>
    </row>
    <row r="40" spans="2:11" x14ac:dyDescent="0.25">
      <c r="B40" s="5" t="s">
        <v>23</v>
      </c>
      <c r="C40" s="1">
        <v>13</v>
      </c>
      <c r="D40" s="6">
        <v>7</v>
      </c>
      <c r="E40" s="6">
        <v>2.8461538461538463</v>
      </c>
      <c r="F40" s="1">
        <v>7</v>
      </c>
      <c r="G40" s="1"/>
      <c r="H40" s="1">
        <v>3.2857142857142856</v>
      </c>
      <c r="I40" s="1">
        <v>20</v>
      </c>
      <c r="J40" s="1">
        <v>7</v>
      </c>
      <c r="K40" s="1">
        <v>3</v>
      </c>
    </row>
    <row r="41" spans="2:11" x14ac:dyDescent="0.25">
      <c r="B41" s="5" t="s">
        <v>14</v>
      </c>
      <c r="C41" s="1">
        <v>60</v>
      </c>
      <c r="D41" s="6">
        <v>8.1</v>
      </c>
      <c r="E41" s="6">
        <v>2.8333333333333335</v>
      </c>
      <c r="F41" s="1">
        <v>23</v>
      </c>
      <c r="G41" s="1"/>
      <c r="H41" s="1">
        <v>2.8260869565217392</v>
      </c>
      <c r="I41" s="1">
        <v>83</v>
      </c>
      <c r="J41" s="1">
        <v>8.1</v>
      </c>
      <c r="K41" s="1">
        <v>2.8313253012048194</v>
      </c>
    </row>
    <row r="42" spans="2:11" x14ac:dyDescent="0.25">
      <c r="B42" s="5" t="s">
        <v>91</v>
      </c>
      <c r="C42" s="1">
        <v>7</v>
      </c>
      <c r="D42" s="6">
        <v>6.1428571428571432</v>
      </c>
      <c r="E42" s="6">
        <v>2.7142857142857144</v>
      </c>
      <c r="F42" s="1">
        <v>2</v>
      </c>
      <c r="G42" s="1"/>
      <c r="H42" s="1">
        <v>2</v>
      </c>
      <c r="I42" s="1">
        <v>9</v>
      </c>
      <c r="J42" s="1">
        <v>6.1428571428571432</v>
      </c>
      <c r="K42" s="1">
        <v>2.5555555555555554</v>
      </c>
    </row>
    <row r="43" spans="2:11" x14ac:dyDescent="0.25">
      <c r="B43" s="5" t="s">
        <v>26</v>
      </c>
      <c r="C43" s="1">
        <v>16</v>
      </c>
      <c r="D43" s="6">
        <v>6.75</v>
      </c>
      <c r="E43" s="6">
        <v>2.9375</v>
      </c>
      <c r="F43" s="1">
        <v>3</v>
      </c>
      <c r="G43" s="1"/>
      <c r="H43" s="1">
        <v>2.6666666666666665</v>
      </c>
      <c r="I43" s="1">
        <v>19</v>
      </c>
      <c r="J43" s="1">
        <v>6.75</v>
      </c>
      <c r="K43" s="1">
        <v>2.8947368421052633</v>
      </c>
    </row>
    <row r="44" spans="2:11" x14ac:dyDescent="0.25">
      <c r="B44" s="5" t="s">
        <v>30</v>
      </c>
      <c r="C44" s="1">
        <v>19</v>
      </c>
      <c r="D44" s="6">
        <v>8.3684210526315788</v>
      </c>
      <c r="E44" s="6">
        <v>3</v>
      </c>
      <c r="F44" s="1">
        <v>3</v>
      </c>
      <c r="G44" s="1"/>
      <c r="H44" s="1">
        <v>2</v>
      </c>
      <c r="I44" s="1">
        <v>22</v>
      </c>
      <c r="J44" s="1">
        <v>8.3684210526315788</v>
      </c>
      <c r="K44" s="1">
        <v>2.8636363636363638</v>
      </c>
    </row>
    <row r="45" spans="2:11" x14ac:dyDescent="0.25">
      <c r="B45" s="5" t="s">
        <v>290</v>
      </c>
      <c r="C45" s="1">
        <v>151</v>
      </c>
      <c r="D45" s="6">
        <v>7.7880794701986753</v>
      </c>
      <c r="E45" s="6">
        <v>2.8807947019867548</v>
      </c>
      <c r="F45" s="1">
        <v>48</v>
      </c>
      <c r="G45" s="1"/>
      <c r="H45" s="1">
        <v>2.6875</v>
      </c>
      <c r="I45" s="1">
        <v>199</v>
      </c>
      <c r="J45" s="1">
        <v>7.7880794701986753</v>
      </c>
      <c r="K45" s="1">
        <v>2.8341708542713566</v>
      </c>
    </row>
    <row r="50" spans="2:3" x14ac:dyDescent="0.25">
      <c r="B50" s="4" t="s">
        <v>292</v>
      </c>
      <c r="C50" t="s">
        <v>318</v>
      </c>
    </row>
    <row r="51" spans="2:3" x14ac:dyDescent="0.25">
      <c r="B51" s="5" t="s">
        <v>293</v>
      </c>
      <c r="C51" s="1">
        <v>47</v>
      </c>
    </row>
    <row r="52" spans="2:3" x14ac:dyDescent="0.25">
      <c r="B52" s="5" t="s">
        <v>294</v>
      </c>
      <c r="C52" s="1">
        <v>41</v>
      </c>
    </row>
    <row r="53" spans="2:3" x14ac:dyDescent="0.25">
      <c r="B53" s="5" t="s">
        <v>295</v>
      </c>
      <c r="C53" s="1">
        <v>52</v>
      </c>
    </row>
    <row r="54" spans="2:3" x14ac:dyDescent="0.25">
      <c r="B54" s="5" t="s">
        <v>296</v>
      </c>
      <c r="C54" s="1">
        <v>48</v>
      </c>
    </row>
    <row r="55" spans="2:3" x14ac:dyDescent="0.25">
      <c r="B55" s="5" t="s">
        <v>297</v>
      </c>
      <c r="C55" s="1">
        <v>5</v>
      </c>
    </row>
    <row r="56" spans="2:3" x14ac:dyDescent="0.25">
      <c r="B56" s="5" t="s">
        <v>298</v>
      </c>
      <c r="C56" s="1">
        <v>5</v>
      </c>
    </row>
    <row r="57" spans="2:3" x14ac:dyDescent="0.25">
      <c r="B57" s="5" t="s">
        <v>299</v>
      </c>
      <c r="C57" s="1">
        <v>1</v>
      </c>
    </row>
    <row r="58" spans="2:3" x14ac:dyDescent="0.25">
      <c r="B58" s="5" t="s">
        <v>290</v>
      </c>
      <c r="C58" s="1">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BF131-5184-4C68-9EBD-0D8ECDCB4841}">
  <dimension ref="A1:AD47"/>
  <sheetViews>
    <sheetView showGridLines="0" zoomScale="47" zoomScaleNormal="40" workbookViewId="0">
      <selection activeCell="AH20" sqref="AH20"/>
    </sheetView>
  </sheetViews>
  <sheetFormatPr defaultRowHeight="15" x14ac:dyDescent="0.25"/>
  <cols>
    <col min="6" max="6" width="11.140625" bestFit="1" customWidth="1"/>
  </cols>
  <sheetData>
    <row r="1" spans="1:30" ht="15" customHeight="1" x14ac:dyDescent="0.45">
      <c r="A1" s="9"/>
      <c r="B1" s="9"/>
      <c r="C1" s="9"/>
      <c r="D1" s="9"/>
      <c r="E1" s="9"/>
      <c r="F1" s="9"/>
      <c r="G1" s="28"/>
      <c r="H1" s="28"/>
      <c r="I1" s="38" t="s">
        <v>305</v>
      </c>
      <c r="J1" s="38"/>
      <c r="K1" s="38"/>
      <c r="L1" s="38"/>
      <c r="M1" s="38"/>
      <c r="N1" s="38"/>
      <c r="O1" s="38"/>
      <c r="P1" s="38"/>
      <c r="Q1" s="38"/>
      <c r="R1" s="38"/>
      <c r="S1" s="38"/>
      <c r="T1" s="26"/>
      <c r="U1" s="26"/>
      <c r="V1" s="26"/>
      <c r="W1" s="26"/>
      <c r="X1" s="26"/>
      <c r="Y1" s="26"/>
      <c r="Z1" s="26"/>
      <c r="AA1" s="26"/>
      <c r="AB1" s="26"/>
      <c r="AC1" s="26"/>
      <c r="AD1" s="26"/>
    </row>
    <row r="2" spans="1:30" ht="28.5" customHeight="1" x14ac:dyDescent="0.45">
      <c r="A2" s="9"/>
      <c r="B2" s="27"/>
      <c r="C2" s="27"/>
      <c r="D2" s="9"/>
      <c r="E2" s="9"/>
      <c r="F2" s="9"/>
      <c r="G2" s="28"/>
      <c r="H2" s="28"/>
      <c r="I2" s="39"/>
      <c r="J2" s="39"/>
      <c r="K2" s="39"/>
      <c r="L2" s="39"/>
      <c r="M2" s="39"/>
      <c r="N2" s="39"/>
      <c r="O2" s="39"/>
      <c r="P2" s="39"/>
      <c r="Q2" s="39"/>
      <c r="R2" s="39"/>
      <c r="S2" s="39"/>
      <c r="T2" s="26"/>
      <c r="U2" s="26"/>
      <c r="V2" s="26"/>
      <c r="W2" s="26"/>
      <c r="X2" s="26"/>
      <c r="Y2" s="26"/>
      <c r="Z2" s="26"/>
      <c r="AA2" s="26"/>
      <c r="AB2" s="26"/>
      <c r="AC2" s="26"/>
      <c r="AD2" s="26"/>
    </row>
    <row r="3" spans="1:30" x14ac:dyDescent="0.25">
      <c r="A3" s="12"/>
      <c r="B3" s="13"/>
      <c r="C3" s="13"/>
      <c r="D3" s="13"/>
      <c r="E3" s="12"/>
      <c r="F3" s="13"/>
      <c r="G3" s="13"/>
      <c r="H3" s="13"/>
      <c r="I3" s="14"/>
      <c r="J3" s="13"/>
      <c r="K3" s="13"/>
      <c r="L3" s="13"/>
      <c r="M3" s="13"/>
      <c r="N3" s="14"/>
      <c r="O3" s="12"/>
      <c r="P3" s="13"/>
      <c r="Q3" s="13"/>
      <c r="R3" s="13"/>
      <c r="S3" s="13"/>
      <c r="T3" s="12"/>
      <c r="U3" s="13"/>
      <c r="V3" s="13"/>
      <c r="W3" s="13"/>
      <c r="X3" s="14"/>
      <c r="Y3" s="12"/>
      <c r="Z3" s="13"/>
      <c r="AA3" s="13"/>
      <c r="AB3" s="13"/>
      <c r="AC3" s="13"/>
      <c r="AD3" s="14"/>
    </row>
    <row r="4" spans="1:30" ht="23.25" x14ac:dyDescent="0.35">
      <c r="A4" s="15"/>
      <c r="B4" s="29" t="s">
        <v>304</v>
      </c>
      <c r="C4" s="29"/>
      <c r="D4" s="30"/>
      <c r="E4" s="22"/>
      <c r="F4" s="29" t="s">
        <v>306</v>
      </c>
      <c r="G4" s="29"/>
      <c r="H4" s="29"/>
      <c r="I4" s="23"/>
      <c r="J4" s="21"/>
      <c r="K4" s="29" t="s">
        <v>307</v>
      </c>
      <c r="L4" s="29"/>
      <c r="M4" s="29"/>
      <c r="N4" s="30"/>
      <c r="O4" s="33" t="s">
        <v>308</v>
      </c>
      <c r="P4" s="34"/>
      <c r="Q4" s="34"/>
      <c r="R4" s="34"/>
      <c r="S4" s="35"/>
      <c r="T4" s="33" t="s">
        <v>317</v>
      </c>
      <c r="U4" s="36"/>
      <c r="V4" s="36"/>
      <c r="W4" s="36"/>
      <c r="X4" s="37"/>
      <c r="Y4" s="33" t="s">
        <v>326</v>
      </c>
      <c r="Z4" s="34"/>
      <c r="AA4" s="34"/>
      <c r="AB4" s="34"/>
      <c r="AC4" s="34"/>
      <c r="AD4" s="35"/>
    </row>
    <row r="5" spans="1:30" x14ac:dyDescent="0.25">
      <c r="A5" s="15"/>
      <c r="B5" s="17"/>
      <c r="C5" s="17"/>
      <c r="D5" s="17"/>
      <c r="E5" s="15"/>
      <c r="F5" s="17"/>
      <c r="G5" s="17"/>
      <c r="H5" s="17"/>
      <c r="I5" s="16"/>
      <c r="J5" s="17"/>
      <c r="K5" s="17"/>
      <c r="L5" s="17"/>
      <c r="M5" s="17"/>
      <c r="N5" s="16"/>
      <c r="O5" s="15"/>
      <c r="P5" s="17"/>
      <c r="Q5" s="17"/>
      <c r="R5" s="17"/>
      <c r="S5" s="17"/>
      <c r="T5" s="15"/>
      <c r="U5" s="17"/>
      <c r="V5" s="17"/>
      <c r="W5" s="17"/>
      <c r="X5" s="16"/>
      <c r="Y5" s="15"/>
      <c r="Z5" s="17"/>
      <c r="AA5" s="17"/>
      <c r="AB5" s="17"/>
      <c r="AC5" s="17"/>
      <c r="AD5" s="16"/>
    </row>
    <row r="6" spans="1:30" ht="21" x14ac:dyDescent="0.35">
      <c r="A6" s="15"/>
      <c r="B6" s="31">
        <f>GETPIVOTDATA("Customer_ID",'Pivot Tables'!$K$20)</f>
        <v>199</v>
      </c>
      <c r="C6" s="31"/>
      <c r="D6" s="17"/>
      <c r="E6" s="15"/>
      <c r="F6" s="45">
        <f>'Pivot Tables'!N8</f>
        <v>75.879396984924625</v>
      </c>
      <c r="G6" s="45"/>
      <c r="H6" s="17"/>
      <c r="I6" s="16"/>
      <c r="J6" s="11"/>
      <c r="K6" s="17"/>
      <c r="L6" s="44">
        <f>GETPIVOTDATA("Average Customer_Satisfaction_Score",'Pivot Tables'!$G$15)</f>
        <v>2.8341708542713566</v>
      </c>
      <c r="M6" s="17"/>
      <c r="N6" s="16"/>
      <c r="O6" s="25"/>
      <c r="P6" s="17"/>
      <c r="Q6" s="44">
        <f>GETPIVOTDATA("Days_to_Activate",'Pivot Tables'!$M$13)</f>
        <v>7.7880794701986753</v>
      </c>
      <c r="R6" s="17"/>
      <c r="S6" s="17"/>
      <c r="T6" s="15"/>
      <c r="U6" s="17"/>
      <c r="V6" s="32" t="str">
        <f>INDEX('Pivot Tables'!A4:A11,MATCH(MAX('Pivot Tables'!B4:B11),'Pivot Tables'!B4:B11,0))</f>
        <v>Lagos</v>
      </c>
      <c r="W6" s="17"/>
      <c r="X6" s="16"/>
      <c r="Y6" s="15"/>
      <c r="Z6" s="17"/>
      <c r="AA6" s="32" t="str">
        <f>INDEX('Pivot Tables'!B51:B57,MATCH(MAX('Pivot Tables'!C51:C57),'Pivot Tables'!C51:C57,0))</f>
        <v>40-49</v>
      </c>
      <c r="AB6" s="17"/>
      <c r="AC6" s="17"/>
      <c r="AD6" s="16"/>
    </row>
    <row r="7" spans="1:30" x14ac:dyDescent="0.25">
      <c r="A7" s="18"/>
      <c r="B7" s="19"/>
      <c r="C7" s="19"/>
      <c r="D7" s="19"/>
      <c r="E7" s="18"/>
      <c r="F7" s="19"/>
      <c r="G7" s="19"/>
      <c r="H7" s="19"/>
      <c r="I7" s="20"/>
      <c r="J7" s="19"/>
      <c r="K7" s="19"/>
      <c r="L7" s="19"/>
      <c r="M7" s="19"/>
      <c r="N7" s="20"/>
      <c r="O7" s="18"/>
      <c r="P7" s="19"/>
      <c r="Q7" s="19"/>
      <c r="R7" s="19"/>
      <c r="S7" s="19"/>
      <c r="T7" s="18"/>
      <c r="U7" s="19"/>
      <c r="V7" s="19"/>
      <c r="W7" s="19"/>
      <c r="X7" s="20"/>
      <c r="Y7" s="18"/>
      <c r="Z7" s="19"/>
      <c r="AA7" s="19"/>
      <c r="AB7" s="19"/>
      <c r="AC7" s="19"/>
      <c r="AD7" s="20"/>
    </row>
    <row r="8" spans="1:30" x14ac:dyDescent="0.25">
      <c r="A8" s="24"/>
      <c r="B8" s="24"/>
      <c r="C8" s="24"/>
      <c r="D8" s="24"/>
      <c r="E8" s="24"/>
      <c r="F8" s="24"/>
      <c r="G8" s="24"/>
      <c r="H8" s="24"/>
      <c r="I8" s="24"/>
      <c r="J8" s="24"/>
      <c r="K8" s="24"/>
      <c r="L8" s="24"/>
      <c r="M8" s="24"/>
      <c r="N8" s="24"/>
      <c r="O8" s="24"/>
      <c r="P8" s="24"/>
      <c r="Q8" s="24"/>
      <c r="R8" s="10"/>
      <c r="S8" s="10"/>
      <c r="T8" s="10"/>
      <c r="U8" s="10"/>
      <c r="V8" s="10"/>
      <c r="W8" s="10"/>
      <c r="X8" s="10"/>
      <c r="Y8" s="10"/>
      <c r="Z8" s="10"/>
      <c r="AA8" s="10"/>
      <c r="AB8" s="10"/>
      <c r="AC8" s="10"/>
      <c r="AD8" s="10"/>
    </row>
    <row r="9" spans="1:30" x14ac:dyDescent="0.25">
      <c r="A9" s="10"/>
      <c r="B9" s="10"/>
      <c r="C9" s="10"/>
      <c r="D9" s="10"/>
      <c r="E9" s="10"/>
      <c r="F9" s="10"/>
      <c r="G9" s="10"/>
      <c r="H9" s="10"/>
      <c r="I9" s="24"/>
      <c r="J9" s="24"/>
      <c r="K9" s="24"/>
      <c r="L9" s="24"/>
      <c r="M9" s="10"/>
      <c r="N9" s="10"/>
      <c r="O9" s="10"/>
      <c r="P9" s="10"/>
      <c r="Q9" s="10"/>
      <c r="R9" s="10"/>
      <c r="S9" s="10"/>
      <c r="T9" s="10"/>
      <c r="U9" s="10"/>
      <c r="V9" s="10"/>
      <c r="W9" s="10"/>
      <c r="X9" s="10"/>
      <c r="Y9" s="10"/>
      <c r="Z9" s="10"/>
      <c r="AA9" s="10"/>
      <c r="AB9" s="10"/>
      <c r="AC9" s="10"/>
      <c r="AD9" s="10"/>
    </row>
    <row r="10" spans="1:30"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row>
    <row r="11" spans="1:30"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row>
    <row r="13" spans="1:30"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row>
    <row r="14" spans="1:30"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1:30"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spans="1:30"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spans="1:30"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spans="1:30"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sheetData>
  <mergeCells count="10">
    <mergeCell ref="F6:G6"/>
    <mergeCell ref="I1:S2"/>
    <mergeCell ref="B4:D4"/>
    <mergeCell ref="F4:H4"/>
    <mergeCell ref="K4:N4"/>
    <mergeCell ref="O4:S4"/>
    <mergeCell ref="T4:X4"/>
    <mergeCell ref="Y4:AD4"/>
    <mergeCell ref="B6:C6"/>
    <mergeCell ref="B2:C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483E-8B1F-42ED-9F1B-942F6ED83573}">
  <dimension ref="A1:A20"/>
  <sheetViews>
    <sheetView showGridLines="0" workbookViewId="0">
      <selection activeCell="L19" sqref="L19"/>
    </sheetView>
  </sheetViews>
  <sheetFormatPr defaultRowHeight="15" x14ac:dyDescent="0.25"/>
  <sheetData>
    <row r="1" spans="1:1" ht="23.25" x14ac:dyDescent="0.25">
      <c r="A1" s="41" t="s">
        <v>332</v>
      </c>
    </row>
    <row r="3" spans="1:1" ht="17.25" x14ac:dyDescent="0.3">
      <c r="A3" s="42" t="s">
        <v>327</v>
      </c>
    </row>
    <row r="5" spans="1:1" ht="23.25" x14ac:dyDescent="0.25">
      <c r="A5" s="41" t="s">
        <v>333</v>
      </c>
    </row>
    <row r="7" spans="1:1" ht="17.25" x14ac:dyDescent="0.3">
      <c r="A7" s="42" t="s">
        <v>336</v>
      </c>
    </row>
    <row r="9" spans="1:1" ht="17.25" x14ac:dyDescent="0.3">
      <c r="A9" s="42" t="s">
        <v>335</v>
      </c>
    </row>
    <row r="11" spans="1:1" ht="17.25" x14ac:dyDescent="0.3">
      <c r="A11" s="42" t="s">
        <v>337</v>
      </c>
    </row>
    <row r="13" spans="1:1" ht="17.25" x14ac:dyDescent="0.3">
      <c r="A13" s="42" t="s">
        <v>338</v>
      </c>
    </row>
    <row r="15" spans="1:1" ht="23.25" x14ac:dyDescent="0.25">
      <c r="A15" s="41" t="s">
        <v>334</v>
      </c>
    </row>
    <row r="16" spans="1:1" x14ac:dyDescent="0.25">
      <c r="A16" s="40"/>
    </row>
    <row r="17" spans="1:1" ht="17.25" x14ac:dyDescent="0.25">
      <c r="A17" s="43" t="s">
        <v>328</v>
      </c>
    </row>
    <row r="18" spans="1:1" ht="17.25" x14ac:dyDescent="0.25">
      <c r="A18" s="43" t="s">
        <v>329</v>
      </c>
    </row>
    <row r="19" spans="1:1" ht="17.25" x14ac:dyDescent="0.25">
      <c r="A19" s="43" t="s">
        <v>330</v>
      </c>
    </row>
    <row r="20" spans="1:1" ht="17.25" x14ac:dyDescent="0.25">
      <c r="A20" s="43"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NovaPay_Onboarding(Main Table)</vt:lpstr>
      <vt:lpstr>Pivot Tables</vt:lpstr>
      <vt:lpstr>Dashboard</vt:lpstr>
      <vt:lpstr>Project 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Idara</cp:lastModifiedBy>
  <cp:revision/>
  <dcterms:created xsi:type="dcterms:W3CDTF">2026-08-05T18:28:17Z</dcterms:created>
  <dcterms:modified xsi:type="dcterms:W3CDTF">2026-08-08T16:15:51Z</dcterms:modified>
  <cp:category/>
  <cp:contentStatus/>
</cp:coreProperties>
</file>